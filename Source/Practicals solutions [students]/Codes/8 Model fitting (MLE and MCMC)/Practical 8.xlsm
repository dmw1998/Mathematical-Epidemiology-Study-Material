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boya\OneDrive\바탕 화면\[2020] ID modeling\Practicals [summer 2018]\codes-lab\Practical 8\"/>
    </mc:Choice>
  </mc:AlternateContent>
  <xr:revisionPtr revIDLastSave="0" documentId="13_ncr:1_{791B4BCD-3368-4536-9978-B6220E67CB2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UK" sheetId="18" r:id="rId1"/>
    <sheet name="China" sheetId="16" r:id="rId2"/>
  </sheets>
  <functionGroups builtInGroupCount="19"/>
  <definedNames>
    <definedName name="foi_c">China!$D$4</definedName>
    <definedName name="foi_uk">UK!$D$4</definedName>
    <definedName name="solver_cvg" localSheetId="1" hidden="1">0.001</definedName>
    <definedName name="solver_cvg" localSheetId="0" hidden="1">0.001</definedName>
    <definedName name="solver_drv" localSheetId="1" hidden="1">1</definedName>
    <definedName name="solver_drv" localSheetId="0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0" hidden="1">UK!$D$6</definedName>
    <definedName name="solver_pre" localSheetId="1" hidden="1">0.000001</definedName>
    <definedName name="solver_pre" localSheetId="0" hidden="1">0.000001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22" i="18" l="1" a="1"/>
  <c r="AE22" i="18" s="1"/>
  <c r="D6" i="18"/>
  <c r="F26" i="18" l="1"/>
  <c r="F27" i="18"/>
  <c r="F28" i="18"/>
  <c r="F29" i="18"/>
  <c r="F30" i="18"/>
  <c r="H30" i="18" s="1"/>
  <c r="F31" i="18"/>
  <c r="F32" i="18"/>
  <c r="F33" i="18"/>
  <c r="F34" i="18"/>
  <c r="F35" i="18"/>
  <c r="F36" i="18"/>
  <c r="F37" i="18"/>
  <c r="F38" i="18"/>
  <c r="H38" i="18" s="1"/>
  <c r="F39" i="18"/>
  <c r="F40" i="18"/>
  <c r="F41" i="18"/>
  <c r="F42" i="18"/>
  <c r="F43" i="18"/>
  <c r="F44" i="18"/>
  <c r="F45" i="18"/>
  <c r="F46" i="18"/>
  <c r="H46" i="18" s="1"/>
  <c r="F47" i="18"/>
  <c r="F48" i="18"/>
  <c r="F49" i="18"/>
  <c r="F50" i="18"/>
  <c r="F51" i="18"/>
  <c r="F52" i="18"/>
  <c r="F53" i="18"/>
  <c r="F54" i="18"/>
  <c r="F55" i="18"/>
  <c r="F56" i="18"/>
  <c r="F57" i="18"/>
  <c r="H57" i="18" s="1"/>
  <c r="F58" i="18"/>
  <c r="F59" i="18"/>
  <c r="F60" i="18"/>
  <c r="F61" i="18"/>
  <c r="F62" i="18"/>
  <c r="H62" i="18" s="1"/>
  <c r="F63" i="18"/>
  <c r="F64" i="18"/>
  <c r="F65" i="18"/>
  <c r="H65" i="18" s="1"/>
  <c r="F66" i="18"/>
  <c r="H66" i="18" s="1"/>
  <c r="F67" i="18"/>
  <c r="F68" i="18"/>
  <c r="F25" i="18"/>
  <c r="H25" i="18" s="1"/>
  <c r="H27" i="18"/>
  <c r="H28" i="18"/>
  <c r="H31" i="18"/>
  <c r="H35" i="18"/>
  <c r="H36" i="18"/>
  <c r="H39" i="18"/>
  <c r="H43" i="18"/>
  <c r="H44" i="18"/>
  <c r="H47" i="18"/>
  <c r="H49" i="18"/>
  <c r="H51" i="18"/>
  <c r="H52" i="18"/>
  <c r="H53" i="18"/>
  <c r="H54" i="18"/>
  <c r="H55" i="18"/>
  <c r="H58" i="18"/>
  <c r="H59" i="18"/>
  <c r="H60" i="18"/>
  <c r="H61" i="18"/>
  <c r="H63" i="18"/>
  <c r="H67" i="18"/>
  <c r="H68" i="18"/>
  <c r="H26" i="18"/>
  <c r="H29" i="18"/>
  <c r="H32" i="18"/>
  <c r="H33" i="18"/>
  <c r="H34" i="18"/>
  <c r="H37" i="18"/>
  <c r="H40" i="18"/>
  <c r="H41" i="18"/>
  <c r="H42" i="18"/>
  <c r="H45" i="18"/>
  <c r="H48" i="18"/>
  <c r="H50" i="18"/>
  <c r="H56" i="18"/>
  <c r="H64" i="18"/>
  <c r="H25" i="16"/>
  <c r="R12" i="16"/>
  <c r="R13" i="16" s="1"/>
  <c r="R14" i="16" s="1"/>
  <c r="R15" i="16" s="1"/>
  <c r="R16" i="16" s="1"/>
  <c r="R17" i="16" s="1"/>
  <c r="R18" i="16" s="1"/>
  <c r="R19" i="16" s="1"/>
  <c r="R20" i="16" s="1"/>
  <c r="R21" i="16" s="1"/>
  <c r="R22" i="16" s="1"/>
  <c r="R23" i="16" s="1"/>
  <c r="R24" i="16" s="1"/>
  <c r="R25" i="16" s="1"/>
  <c r="R26" i="16" s="1"/>
  <c r="R27" i="16" s="1"/>
  <c r="R28" i="16" s="1"/>
  <c r="R29" i="16" s="1"/>
  <c r="R30" i="16" s="1"/>
  <c r="R31" i="16" s="1"/>
  <c r="R32" i="16" s="1"/>
  <c r="R33" i="16" s="1"/>
  <c r="R34" i="16" s="1"/>
  <c r="R35" i="16" s="1"/>
  <c r="R36" i="16" s="1"/>
  <c r="R37" i="16" s="1"/>
  <c r="R38" i="16" s="1"/>
  <c r="R39" i="16" s="1"/>
  <c r="R40" i="16" s="1"/>
  <c r="R41" i="16" s="1"/>
  <c r="R42" i="16" s="1"/>
  <c r="R43" i="16" s="1"/>
  <c r="R44" i="16" s="1"/>
  <c r="R45" i="16" s="1"/>
  <c r="R46" i="16" s="1"/>
  <c r="R47" i="16" s="1"/>
  <c r="R48" i="16" s="1"/>
  <c r="R49" i="16" s="1"/>
  <c r="R50" i="16" s="1"/>
  <c r="R51" i="16" s="1"/>
  <c r="R52" i="16" s="1"/>
  <c r="R53" i="16" s="1"/>
  <c r="R54" i="16" s="1"/>
  <c r="R55" i="16" s="1"/>
  <c r="R56" i="16" s="1"/>
  <c r="R57" i="16" s="1"/>
  <c r="R58" i="16" s="1"/>
  <c r="R59" i="16" s="1"/>
  <c r="R60" i="16" s="1"/>
  <c r="R61" i="16" s="1"/>
  <c r="R62" i="16" s="1"/>
  <c r="R63" i="16" s="1"/>
  <c r="R64" i="16" s="1"/>
  <c r="R65" i="16" s="1"/>
  <c r="R66" i="16" s="1"/>
  <c r="R67" i="16" s="1"/>
  <c r="R68" i="16" s="1"/>
  <c r="R69" i="16" s="1"/>
  <c r="R70" i="16" s="1"/>
  <c r="R71" i="16" s="1"/>
  <c r="R72" i="16" s="1"/>
  <c r="R73" i="16" s="1"/>
  <c r="R74" i="16" s="1"/>
  <c r="R75" i="16" s="1"/>
  <c r="R76" i="16" s="1"/>
  <c r="R77" i="16" s="1"/>
  <c r="R78" i="16" s="1"/>
  <c r="R79" i="16" s="1"/>
  <c r="R80" i="16" s="1"/>
  <c r="R81" i="16" s="1"/>
  <c r="R82" i="16" s="1"/>
  <c r="R83" i="16" s="1"/>
  <c r="R84" i="16" s="1"/>
  <c r="R85" i="16" s="1"/>
  <c r="R86" i="16" s="1"/>
  <c r="R87" i="16" s="1"/>
  <c r="R88" i="16" s="1"/>
  <c r="R89" i="16" s="1"/>
  <c r="R90" i="16" s="1"/>
  <c r="R91" i="16" s="1"/>
  <c r="R92" i="16" s="1"/>
  <c r="R93" i="16" s="1"/>
  <c r="R94" i="16" s="1"/>
  <c r="R95" i="16" s="1"/>
  <c r="R96" i="16" s="1"/>
  <c r="R97" i="16" s="1"/>
  <c r="R98" i="16" s="1"/>
  <c r="R99" i="16" s="1"/>
  <c r="R100" i="16" s="1"/>
  <c r="R101" i="16" s="1"/>
  <c r="R102" i="16" s="1"/>
  <c r="R103" i="16" s="1"/>
  <c r="R104" i="16" s="1"/>
  <c r="R105" i="16" s="1"/>
  <c r="R106" i="16" s="1"/>
  <c r="R107" i="16" s="1"/>
  <c r="R108" i="16" s="1"/>
  <c r="R109" i="16" s="1"/>
  <c r="R110" i="16" s="1"/>
  <c r="H26" i="16"/>
  <c r="H27" i="16"/>
  <c r="H28" i="16"/>
  <c r="H29" i="16"/>
  <c r="H30" i="16"/>
  <c r="H31" i="16"/>
  <c r="H32" i="16"/>
  <c r="H33" i="16"/>
  <c r="H34" i="16"/>
  <c r="H35" i="16"/>
  <c r="E25" i="16"/>
  <c r="G25" i="16" s="1"/>
  <c r="E26" i="16"/>
  <c r="G26" i="16"/>
  <c r="E27" i="16"/>
  <c r="G27" i="16" s="1"/>
  <c r="E28" i="16"/>
  <c r="G28" i="16"/>
  <c r="E29" i="16"/>
  <c r="G29" i="16"/>
  <c r="E30" i="16"/>
  <c r="G30" i="16"/>
  <c r="E31" i="16"/>
  <c r="G31" i="16"/>
  <c r="E32" i="16"/>
  <c r="G32" i="16"/>
  <c r="E33" i="16"/>
  <c r="G33" i="16"/>
  <c r="E34" i="16"/>
  <c r="G34" i="16"/>
  <c r="E35" i="16"/>
  <c r="G35" i="16"/>
  <c r="D68" i="18"/>
  <c r="E68" i="18" s="1"/>
  <c r="G68" i="18" s="1"/>
  <c r="D67" i="18"/>
  <c r="E67" i="18" s="1"/>
  <c r="G67" i="18" s="1"/>
  <c r="D66" i="18"/>
  <c r="E66" i="18" s="1"/>
  <c r="G66" i="18" s="1"/>
  <c r="D65" i="18"/>
  <c r="E65" i="18" s="1"/>
  <c r="G65" i="18" s="1"/>
  <c r="D64" i="18"/>
  <c r="E64" i="18" s="1"/>
  <c r="G64" i="18" s="1"/>
  <c r="D63" i="18"/>
  <c r="E63" i="18" s="1"/>
  <c r="G63" i="18" s="1"/>
  <c r="D62" i="18"/>
  <c r="E62" i="18" s="1"/>
  <c r="G62" i="18" s="1"/>
  <c r="D61" i="18"/>
  <c r="E61" i="18" s="1"/>
  <c r="G61" i="18" s="1"/>
  <c r="D60" i="18"/>
  <c r="E60" i="18" s="1"/>
  <c r="G60" i="18" s="1"/>
  <c r="D59" i="18"/>
  <c r="E59" i="18" s="1"/>
  <c r="G59" i="18" s="1"/>
  <c r="D58" i="18"/>
  <c r="E58" i="18" s="1"/>
  <c r="G58" i="18" s="1"/>
  <c r="D57" i="18"/>
  <c r="E57" i="18" s="1"/>
  <c r="G57" i="18" s="1"/>
  <c r="D56" i="18"/>
  <c r="E56" i="18" s="1"/>
  <c r="G56" i="18" s="1"/>
  <c r="D55" i="18"/>
  <c r="E55" i="18" s="1"/>
  <c r="G55" i="18" s="1"/>
  <c r="D54" i="18"/>
  <c r="E54" i="18" s="1"/>
  <c r="G54" i="18" s="1"/>
  <c r="D53" i="18"/>
  <c r="E53" i="18" s="1"/>
  <c r="G53" i="18" s="1"/>
  <c r="D52" i="18"/>
  <c r="E52" i="18" s="1"/>
  <c r="G52" i="18" s="1"/>
  <c r="D51" i="18"/>
  <c r="E51" i="18" s="1"/>
  <c r="G51" i="18" s="1"/>
  <c r="D50" i="18"/>
  <c r="E50" i="18" s="1"/>
  <c r="G50" i="18" s="1"/>
  <c r="D49" i="18"/>
  <c r="E49" i="18" s="1"/>
  <c r="G49" i="18" s="1"/>
  <c r="D48" i="18"/>
  <c r="E48" i="18" s="1"/>
  <c r="G48" i="18" s="1"/>
  <c r="D47" i="18"/>
  <c r="E47" i="18" s="1"/>
  <c r="G47" i="18" s="1"/>
  <c r="D46" i="18"/>
  <c r="E46" i="18" s="1"/>
  <c r="G46" i="18" s="1"/>
  <c r="D45" i="18"/>
  <c r="E45" i="18" s="1"/>
  <c r="G45" i="18" s="1"/>
  <c r="D44" i="18"/>
  <c r="E44" i="18" s="1"/>
  <c r="G44" i="18" s="1"/>
  <c r="D43" i="18"/>
  <c r="E43" i="18" s="1"/>
  <c r="G43" i="18" s="1"/>
  <c r="D42" i="18"/>
  <c r="E42" i="18" s="1"/>
  <c r="G42" i="18" s="1"/>
  <c r="D41" i="18"/>
  <c r="E41" i="18" s="1"/>
  <c r="G41" i="18" s="1"/>
  <c r="D40" i="18"/>
  <c r="E40" i="18" s="1"/>
  <c r="G40" i="18" s="1"/>
  <c r="D39" i="18"/>
  <c r="E39" i="18" s="1"/>
  <c r="G39" i="18" s="1"/>
  <c r="D38" i="18"/>
  <c r="E38" i="18" s="1"/>
  <c r="G38" i="18" s="1"/>
  <c r="D37" i="18"/>
  <c r="E37" i="18" s="1"/>
  <c r="G37" i="18" s="1"/>
  <c r="D36" i="18"/>
  <c r="E36" i="18" s="1"/>
  <c r="G36" i="18" s="1"/>
  <c r="D35" i="18"/>
  <c r="E35" i="18" s="1"/>
  <c r="G35" i="18" s="1"/>
  <c r="D34" i="18"/>
  <c r="E34" i="18" s="1"/>
  <c r="G34" i="18" s="1"/>
  <c r="D33" i="18"/>
  <c r="E33" i="18" s="1"/>
  <c r="G33" i="18" s="1"/>
  <c r="D32" i="18"/>
  <c r="E32" i="18" s="1"/>
  <c r="G32" i="18" s="1"/>
  <c r="D31" i="18"/>
  <c r="E31" i="18" s="1"/>
  <c r="G31" i="18" s="1"/>
  <c r="D30" i="18"/>
  <c r="E30" i="18" s="1"/>
  <c r="G30" i="18" s="1"/>
  <c r="D29" i="18"/>
  <c r="E29" i="18" s="1"/>
  <c r="G29" i="18" s="1"/>
  <c r="D28" i="18"/>
  <c r="E28" i="18" s="1"/>
  <c r="G28" i="18" s="1"/>
  <c r="D27" i="18"/>
  <c r="E27" i="18" s="1"/>
  <c r="G27" i="18" s="1"/>
  <c r="D26" i="18"/>
  <c r="E26" i="18" s="1"/>
  <c r="G26" i="18" s="1"/>
  <c r="D25" i="18"/>
  <c r="E25" i="18" s="1"/>
  <c r="G25" i="18" s="1"/>
  <c r="R12" i="18"/>
  <c r="R13" i="18" s="1"/>
  <c r="R14" i="18" s="1"/>
  <c r="R15" i="18" s="1"/>
  <c r="R16" i="18" s="1"/>
  <c r="R17" i="18" s="1"/>
  <c r="R18" i="18" s="1"/>
  <c r="R19" i="18" s="1"/>
  <c r="R20" i="18" s="1"/>
  <c r="R21" i="18" s="1"/>
  <c r="R22" i="18" s="1"/>
  <c r="R23" i="18" s="1"/>
  <c r="R24" i="18" s="1"/>
  <c r="R25" i="18" s="1"/>
  <c r="R26" i="18" s="1"/>
  <c r="R27" i="18" s="1"/>
  <c r="R28" i="18" s="1"/>
  <c r="R29" i="18" s="1"/>
  <c r="R30" i="18" s="1"/>
  <c r="R31" i="18" s="1"/>
  <c r="R32" i="18" s="1"/>
  <c r="R33" i="18" s="1"/>
  <c r="R34" i="18" s="1"/>
  <c r="R35" i="18" s="1"/>
  <c r="R36" i="18" s="1"/>
  <c r="R37" i="18" s="1"/>
  <c r="R38" i="18" s="1"/>
  <c r="R39" i="18" s="1"/>
  <c r="R40" i="18" s="1"/>
  <c r="R41" i="18" s="1"/>
  <c r="R42" i="18" s="1"/>
  <c r="R43" i="18" s="1"/>
  <c r="R44" i="18" s="1"/>
  <c r="R45" i="18" s="1"/>
  <c r="R46" i="18" s="1"/>
  <c r="R47" i="18" s="1"/>
  <c r="R48" i="18" s="1"/>
  <c r="R49" i="18" s="1"/>
  <c r="R50" i="18" s="1"/>
  <c r="R51" i="18" s="1"/>
  <c r="R52" i="18" s="1"/>
  <c r="R53" i="18" s="1"/>
  <c r="R54" i="18" s="1"/>
  <c r="R55" i="18" s="1"/>
  <c r="R56" i="18" s="1"/>
  <c r="R57" i="18" s="1"/>
  <c r="R58" i="18" s="1"/>
  <c r="R59" i="18" s="1"/>
  <c r="R60" i="18" s="1"/>
  <c r="R61" i="18" s="1"/>
  <c r="R62" i="18" s="1"/>
  <c r="R63" i="18" s="1"/>
  <c r="R64" i="18" s="1"/>
  <c r="R65" i="18" s="1"/>
  <c r="R66" i="18" s="1"/>
  <c r="R67" i="18" s="1"/>
  <c r="R68" i="18" s="1"/>
  <c r="R69" i="18" s="1"/>
  <c r="R70" i="18" s="1"/>
  <c r="R71" i="18" s="1"/>
  <c r="R72" i="18" s="1"/>
  <c r="R73" i="18" s="1"/>
  <c r="R74" i="18" s="1"/>
  <c r="R75" i="18" s="1"/>
  <c r="R76" i="18" s="1"/>
  <c r="R77" i="18" s="1"/>
  <c r="R78" i="18" s="1"/>
  <c r="R79" i="18" s="1"/>
  <c r="R80" i="18" s="1"/>
  <c r="R81" i="18" s="1"/>
  <c r="R82" i="18" s="1"/>
  <c r="R83" i="18" s="1"/>
  <c r="R84" i="18" s="1"/>
  <c r="R85" i="18" s="1"/>
  <c r="R86" i="18" s="1"/>
  <c r="R87" i="18" s="1"/>
  <c r="R88" i="18" s="1"/>
  <c r="R89" i="18" s="1"/>
  <c r="R90" i="18" s="1"/>
  <c r="R91" i="18" s="1"/>
  <c r="R92" i="18" s="1"/>
  <c r="R93" i="18" s="1"/>
  <c r="R94" i="18" s="1"/>
  <c r="R95" i="18" s="1"/>
  <c r="R96" i="18" s="1"/>
  <c r="R97" i="18" s="1"/>
  <c r="R98" i="18" s="1"/>
  <c r="R99" i="18" s="1"/>
  <c r="R100" i="18" s="1"/>
  <c r="R101" i="18" s="1"/>
  <c r="R102" i="18" s="1"/>
  <c r="R103" i="18" s="1"/>
  <c r="R104" i="18" s="1"/>
  <c r="R105" i="18" s="1"/>
  <c r="R106" i="18" s="1"/>
  <c r="R107" i="18" s="1"/>
  <c r="R108" i="18" s="1"/>
  <c r="R109" i="18" s="1"/>
  <c r="R110" i="18" s="1"/>
  <c r="A26" i="18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S10" i="18" l="1"/>
  <c r="D6" i="16"/>
  <c r="S10" i="16" s="1"/>
  <c r="D9" i="16" l="1"/>
  <c r="D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<sst xmlns="http://schemas.openxmlformats.org/spreadsheetml/2006/main" count="80" uniqueCount="39">
  <si>
    <t>Data on the proportion of individuals positive to rubella antibody in China (Wannian (1985) Rev Inf Dis; 7(S72))</t>
  </si>
  <si>
    <t xml:space="preserve">Name in </t>
  </si>
  <si>
    <t>Definition</t>
  </si>
  <si>
    <t>Value</t>
  </si>
  <si>
    <t>spreadsheet</t>
  </si>
  <si>
    <t>force of infection</t>
  </si>
  <si>
    <t>foi_c</t>
  </si>
  <si>
    <r>
      <t>Goodness of fit</t>
    </r>
    <r>
      <rPr>
        <sz val="10"/>
        <rFont val="Arial"/>
        <family val="2"/>
      </rPr>
      <t>(defined as</t>
    </r>
  </si>
  <si>
    <t>deviance of model from the saturated model)</t>
  </si>
  <si>
    <t>Difference of GOF from</t>
  </si>
  <si>
    <t>optimal deviance:</t>
  </si>
  <si>
    <t>95% CI</t>
  </si>
  <si>
    <t xml:space="preserve">Optimal </t>
  </si>
  <si>
    <t>lower</t>
  </si>
  <si>
    <t>upper</t>
  </si>
  <si>
    <t>Optimal deviance</t>
  </si>
  <si>
    <t>Expected</t>
  </si>
  <si>
    <t xml:space="preserve">Contribution to loglikelihood </t>
  </si>
  <si>
    <t>Age</t>
  </si>
  <si>
    <t>Number</t>
  </si>
  <si>
    <t>Proportion</t>
  </si>
  <si>
    <t>from data point to:</t>
  </si>
  <si>
    <t>(mid point)</t>
  </si>
  <si>
    <t>positive</t>
  </si>
  <si>
    <t>negative</t>
  </si>
  <si>
    <t xml:space="preserve">total </t>
  </si>
  <si>
    <t xml:space="preserve">saturated </t>
  </si>
  <si>
    <t xml:space="preserve">catalytic </t>
  </si>
  <si>
    <t>model</t>
  </si>
  <si>
    <t>foi_uk</t>
  </si>
  <si>
    <t>force of</t>
  </si>
  <si>
    <t>infection</t>
  </si>
  <si>
    <t>Goodness</t>
  </si>
  <si>
    <t xml:space="preserve"> of fit statistic</t>
  </si>
  <si>
    <t>Summary of foi estimates:</t>
  </si>
  <si>
    <t>Data on the proportion of individuals positive to rubella antibody in the UK (Farrington (1990) Statistics in Medicine, 9,953-67)</t>
  </si>
  <si>
    <r>
      <t>-Ln(S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/N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)</t>
    </r>
  </si>
  <si>
    <t>ever infected</t>
  </si>
  <si>
    <t>proportion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</si>
</sst>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3" x14ac:knownFonts="1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18"/>
      <name val="Arial"/>
      <family val="2"/>
    </font>
    <font>
      <sz val="10"/>
      <color indexed="18"/>
      <name val="Arial"/>
      <family val="2"/>
    </font>
    <font>
      <b/>
      <vertAlign val="subscript"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</fills>
  <borders count="10">
    <border>
      <left/>
      <right/>
      <top/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Fill="1"/>
    <xf numFmtId="0" fontId="0" fillId="0" borderId="0" xfId="0" applyFill="1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0" xfId="0" applyFont="1" applyFill="1"/>
    <xf numFmtId="0" fontId="0" fillId="2" borderId="0" xfId="0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2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0" borderId="0" xfId="0" applyFill="1" applyBorder="1"/>
    <xf numFmtId="0" fontId="6" fillId="0" borderId="0" xfId="0" applyFont="1" applyFill="1" applyBorder="1"/>
    <xf numFmtId="0" fontId="6" fillId="3" borderId="1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0" fontId="6" fillId="3" borderId="0" xfId="0" applyFont="1" applyFill="1" applyBorder="1"/>
    <xf numFmtId="0" fontId="6" fillId="3" borderId="5" xfId="0" applyFont="1" applyFill="1" applyBorder="1"/>
    <xf numFmtId="0" fontId="7" fillId="3" borderId="5" xfId="0" applyFont="1" applyFill="1" applyBorder="1"/>
    <xf numFmtId="0" fontId="6" fillId="3" borderId="6" xfId="0" applyFont="1" applyFill="1" applyBorder="1"/>
    <xf numFmtId="0" fontId="6" fillId="3" borderId="7" xfId="0" applyFont="1" applyFill="1" applyBorder="1"/>
    <xf numFmtId="0" fontId="7" fillId="3" borderId="8" xfId="0" applyFont="1" applyFill="1" applyBorder="1"/>
    <xf numFmtId="0" fontId="7" fillId="3" borderId="0" xfId="0" applyFont="1" applyFill="1" applyBorder="1"/>
    <xf numFmtId="0" fontId="6" fillId="3" borderId="0" xfId="0" applyFont="1" applyFill="1"/>
    <xf numFmtId="0" fontId="7" fillId="3" borderId="0" xfId="0" applyFont="1" applyFill="1"/>
    <xf numFmtId="0" fontId="4" fillId="3" borderId="0" xfId="0" applyFont="1" applyFill="1" applyBorder="1"/>
    <xf numFmtId="0" fontId="3" fillId="4" borderId="0" xfId="0" applyFont="1" applyFill="1"/>
    <xf numFmtId="0" fontId="1" fillId="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" fillId="5" borderId="0" xfId="0" quotePrefix="1" applyFont="1" applyFill="1"/>
    <xf numFmtId="176" fontId="3" fillId="4" borderId="0" xfId="0" applyNumberFormat="1" applyFont="1" applyFill="1" applyAlignment="1">
      <alignment horizontal="center"/>
    </xf>
    <xf numFmtId="0" fontId="1" fillId="5" borderId="0" xfId="0" applyFont="1" applyFill="1"/>
    <xf numFmtId="0" fontId="0" fillId="4" borderId="0" xfId="0" applyFill="1"/>
    <xf numFmtId="0" fontId="0" fillId="6" borderId="0" xfId="0" applyFill="1"/>
    <xf numFmtId="0" fontId="8" fillId="6" borderId="0" xfId="0" applyFont="1" applyFill="1"/>
    <xf numFmtId="0" fontId="9" fillId="6" borderId="0" xfId="0" applyFont="1" applyFill="1"/>
    <xf numFmtId="0" fontId="10" fillId="6" borderId="0" xfId="0" applyFont="1" applyFill="1"/>
    <xf numFmtId="0" fontId="11" fillId="6" borderId="0" xfId="0" applyFont="1" applyFill="1"/>
    <xf numFmtId="0" fontId="1" fillId="7" borderId="0" xfId="0" quotePrefix="1" applyFont="1" applyFill="1"/>
    <xf numFmtId="0" fontId="0" fillId="7" borderId="0" xfId="0" applyFill="1"/>
    <xf numFmtId="0" fontId="1" fillId="4" borderId="9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Figure 1: Comparison between the observed and expected proportion seropositive</a:t>
            </a:r>
          </a:p>
        </c:rich>
      </c:tx>
      <c:layout>
        <c:manualLayout>
          <c:xMode val="edge"/>
          <c:yMode val="edge"/>
          <c:x val="0.15810276679841898"/>
          <c:y val="2.3437544703568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9565217391308"/>
          <c:y val="0.16796907037557673"/>
          <c:w val="0.81620553359683801"/>
          <c:h val="0.6835950538540915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UK!$A$24:$A$68</c:f>
              <c:numCache>
                <c:formatCode>General</c:formatCode>
                <c:ptCount val="45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4.5</c:v>
                </c:pt>
                <c:pt idx="6">
                  <c:v>5.5</c:v>
                </c:pt>
                <c:pt idx="7">
                  <c:v>6.5</c:v>
                </c:pt>
                <c:pt idx="8">
                  <c:v>7.5</c:v>
                </c:pt>
                <c:pt idx="9">
                  <c:v>8.5</c:v>
                </c:pt>
                <c:pt idx="10">
                  <c:v>9.5</c:v>
                </c:pt>
                <c:pt idx="11">
                  <c:v>10.5</c:v>
                </c:pt>
                <c:pt idx="12">
                  <c:v>11.5</c:v>
                </c:pt>
                <c:pt idx="13">
                  <c:v>12.5</c:v>
                </c:pt>
                <c:pt idx="14">
                  <c:v>13.5</c:v>
                </c:pt>
                <c:pt idx="15">
                  <c:v>14.5</c:v>
                </c:pt>
                <c:pt idx="16">
                  <c:v>15.5</c:v>
                </c:pt>
                <c:pt idx="17">
                  <c:v>16.5</c:v>
                </c:pt>
                <c:pt idx="18">
                  <c:v>17.5</c:v>
                </c:pt>
                <c:pt idx="19">
                  <c:v>18.5</c:v>
                </c:pt>
                <c:pt idx="20">
                  <c:v>19.5</c:v>
                </c:pt>
                <c:pt idx="21">
                  <c:v>20.5</c:v>
                </c:pt>
                <c:pt idx="22">
                  <c:v>21.5</c:v>
                </c:pt>
                <c:pt idx="23">
                  <c:v>22.5</c:v>
                </c:pt>
                <c:pt idx="24">
                  <c:v>23.5</c:v>
                </c:pt>
                <c:pt idx="25">
                  <c:v>24.5</c:v>
                </c:pt>
                <c:pt idx="26">
                  <c:v>25.5</c:v>
                </c:pt>
                <c:pt idx="27">
                  <c:v>26.5</c:v>
                </c:pt>
                <c:pt idx="28">
                  <c:v>27.5</c:v>
                </c:pt>
                <c:pt idx="29">
                  <c:v>28.5</c:v>
                </c:pt>
                <c:pt idx="30">
                  <c:v>29.5</c:v>
                </c:pt>
                <c:pt idx="31">
                  <c:v>30.5</c:v>
                </c:pt>
                <c:pt idx="32">
                  <c:v>31.5</c:v>
                </c:pt>
                <c:pt idx="33">
                  <c:v>32.5</c:v>
                </c:pt>
                <c:pt idx="34">
                  <c:v>33.5</c:v>
                </c:pt>
                <c:pt idx="35">
                  <c:v>34.5</c:v>
                </c:pt>
                <c:pt idx="36">
                  <c:v>35.5</c:v>
                </c:pt>
                <c:pt idx="37">
                  <c:v>36.5</c:v>
                </c:pt>
                <c:pt idx="38">
                  <c:v>37.5</c:v>
                </c:pt>
                <c:pt idx="39">
                  <c:v>38.5</c:v>
                </c:pt>
                <c:pt idx="40">
                  <c:v>39.5</c:v>
                </c:pt>
                <c:pt idx="41">
                  <c:v>40.5</c:v>
                </c:pt>
                <c:pt idx="42">
                  <c:v>41.5</c:v>
                </c:pt>
                <c:pt idx="43">
                  <c:v>42.5</c:v>
                </c:pt>
                <c:pt idx="44">
                  <c:v>43.5</c:v>
                </c:pt>
              </c:numCache>
            </c:numRef>
          </c:xVal>
          <c:yVal>
            <c:numRef>
              <c:f>UK!$E$24:$E$68</c:f>
              <c:numCache>
                <c:formatCode>General</c:formatCode>
                <c:ptCount val="45"/>
                <c:pt idx="1">
                  <c:v>0.15048543689320387</c:v>
                </c:pt>
                <c:pt idx="2">
                  <c:v>0.20547945205479451</c:v>
                </c:pt>
                <c:pt idx="3">
                  <c:v>0.20238095238095238</c:v>
                </c:pt>
                <c:pt idx="4">
                  <c:v>0.30158730158730157</c:v>
                </c:pt>
                <c:pt idx="5">
                  <c:v>0.43378995433789952</c:v>
                </c:pt>
                <c:pt idx="6">
                  <c:v>0.53333333333333333</c:v>
                </c:pt>
                <c:pt idx="7">
                  <c:v>0.54878048780487809</c:v>
                </c:pt>
                <c:pt idx="8">
                  <c:v>0.66206896551724137</c:v>
                </c:pt>
                <c:pt idx="9">
                  <c:v>0.74444444444444446</c:v>
                </c:pt>
                <c:pt idx="10">
                  <c:v>0.6875</c:v>
                </c:pt>
                <c:pt idx="11">
                  <c:v>0.75</c:v>
                </c:pt>
                <c:pt idx="12">
                  <c:v>0.8258426966292135</c:v>
                </c:pt>
                <c:pt idx="13">
                  <c:v>0.77966101694915257</c:v>
                </c:pt>
                <c:pt idx="14">
                  <c:v>0.8545454545454545</c:v>
                </c:pt>
                <c:pt idx="15">
                  <c:v>0.79104477611940294</c:v>
                </c:pt>
                <c:pt idx="16">
                  <c:v>0.84482758620689657</c:v>
                </c:pt>
                <c:pt idx="17">
                  <c:v>0.90123456790123457</c:v>
                </c:pt>
                <c:pt idx="18">
                  <c:v>0.87341772151898733</c:v>
                </c:pt>
                <c:pt idx="19">
                  <c:v>0.87387387387387383</c:v>
                </c:pt>
                <c:pt idx="20">
                  <c:v>0.85526315789473684</c:v>
                </c:pt>
                <c:pt idx="21">
                  <c:v>0.90243902439024393</c:v>
                </c:pt>
                <c:pt idx="22">
                  <c:v>0.83168316831683164</c:v>
                </c:pt>
                <c:pt idx="23">
                  <c:v>0.93181818181818177</c:v>
                </c:pt>
                <c:pt idx="24">
                  <c:v>0.92941176470588238</c:v>
                </c:pt>
                <c:pt idx="25">
                  <c:v>0.95744680851063835</c:v>
                </c:pt>
                <c:pt idx="26">
                  <c:v>0.92307692307692313</c:v>
                </c:pt>
                <c:pt idx="27">
                  <c:v>0.9101123595505618</c:v>
                </c:pt>
                <c:pt idx="28">
                  <c:v>0.94736842105263153</c:v>
                </c:pt>
                <c:pt idx="29">
                  <c:v>0.89873417721518989</c:v>
                </c:pt>
                <c:pt idx="30">
                  <c:v>0.9107142857142857</c:v>
                </c:pt>
                <c:pt idx="31">
                  <c:v>0.86538461538461542</c:v>
                </c:pt>
                <c:pt idx="32">
                  <c:v>0.9375</c:v>
                </c:pt>
                <c:pt idx="33">
                  <c:v>0.94594594594594594</c:v>
                </c:pt>
                <c:pt idx="34">
                  <c:v>0.95121951219512191</c:v>
                </c:pt>
                <c:pt idx="35">
                  <c:v>0.9</c:v>
                </c:pt>
                <c:pt idx="36">
                  <c:v>0.97368421052631582</c:v>
                </c:pt>
                <c:pt idx="37">
                  <c:v>0.94871794871794868</c:v>
                </c:pt>
                <c:pt idx="38">
                  <c:v>0.90243902439024393</c:v>
                </c:pt>
                <c:pt idx="39">
                  <c:v>0.93333333333333335</c:v>
                </c:pt>
                <c:pt idx="40">
                  <c:v>0.96296296296296291</c:v>
                </c:pt>
                <c:pt idx="41">
                  <c:v>1</c:v>
                </c:pt>
                <c:pt idx="42">
                  <c:v>0.95454545454545459</c:v>
                </c:pt>
                <c:pt idx="43">
                  <c:v>0.94736842105263153</c:v>
                </c:pt>
                <c:pt idx="4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4-4348-9E85-E00795EAAD07}"/>
            </c:ext>
          </c:extLst>
        </c:ser>
        <c:ser>
          <c:idx val="1"/>
          <c:order val="1"/>
          <c:tx>
            <c:v>Predicted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UK!$A$24:$A$68</c:f>
              <c:numCache>
                <c:formatCode>General</c:formatCode>
                <c:ptCount val="45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4.5</c:v>
                </c:pt>
                <c:pt idx="6">
                  <c:v>5.5</c:v>
                </c:pt>
                <c:pt idx="7">
                  <c:v>6.5</c:v>
                </c:pt>
                <c:pt idx="8">
                  <c:v>7.5</c:v>
                </c:pt>
                <c:pt idx="9">
                  <c:v>8.5</c:v>
                </c:pt>
                <c:pt idx="10">
                  <c:v>9.5</c:v>
                </c:pt>
                <c:pt idx="11">
                  <c:v>10.5</c:v>
                </c:pt>
                <c:pt idx="12">
                  <c:v>11.5</c:v>
                </c:pt>
                <c:pt idx="13">
                  <c:v>12.5</c:v>
                </c:pt>
                <c:pt idx="14">
                  <c:v>13.5</c:v>
                </c:pt>
                <c:pt idx="15">
                  <c:v>14.5</c:v>
                </c:pt>
                <c:pt idx="16">
                  <c:v>15.5</c:v>
                </c:pt>
                <c:pt idx="17">
                  <c:v>16.5</c:v>
                </c:pt>
                <c:pt idx="18">
                  <c:v>17.5</c:v>
                </c:pt>
                <c:pt idx="19">
                  <c:v>18.5</c:v>
                </c:pt>
                <c:pt idx="20">
                  <c:v>19.5</c:v>
                </c:pt>
                <c:pt idx="21">
                  <c:v>20.5</c:v>
                </c:pt>
                <c:pt idx="22">
                  <c:v>21.5</c:v>
                </c:pt>
                <c:pt idx="23">
                  <c:v>22.5</c:v>
                </c:pt>
                <c:pt idx="24">
                  <c:v>23.5</c:v>
                </c:pt>
                <c:pt idx="25">
                  <c:v>24.5</c:v>
                </c:pt>
                <c:pt idx="26">
                  <c:v>25.5</c:v>
                </c:pt>
                <c:pt idx="27">
                  <c:v>26.5</c:v>
                </c:pt>
                <c:pt idx="28">
                  <c:v>27.5</c:v>
                </c:pt>
                <c:pt idx="29">
                  <c:v>28.5</c:v>
                </c:pt>
                <c:pt idx="30">
                  <c:v>29.5</c:v>
                </c:pt>
                <c:pt idx="31">
                  <c:v>30.5</c:v>
                </c:pt>
                <c:pt idx="32">
                  <c:v>31.5</c:v>
                </c:pt>
                <c:pt idx="33">
                  <c:v>32.5</c:v>
                </c:pt>
                <c:pt idx="34">
                  <c:v>33.5</c:v>
                </c:pt>
                <c:pt idx="35">
                  <c:v>34.5</c:v>
                </c:pt>
                <c:pt idx="36">
                  <c:v>35.5</c:v>
                </c:pt>
                <c:pt idx="37">
                  <c:v>36.5</c:v>
                </c:pt>
                <c:pt idx="38">
                  <c:v>37.5</c:v>
                </c:pt>
                <c:pt idx="39">
                  <c:v>38.5</c:v>
                </c:pt>
                <c:pt idx="40">
                  <c:v>39.5</c:v>
                </c:pt>
                <c:pt idx="41">
                  <c:v>40.5</c:v>
                </c:pt>
                <c:pt idx="42">
                  <c:v>41.5</c:v>
                </c:pt>
                <c:pt idx="43">
                  <c:v>42.5</c:v>
                </c:pt>
                <c:pt idx="44">
                  <c:v>43.5</c:v>
                </c:pt>
              </c:numCache>
            </c:numRef>
          </c:xVal>
          <c:yVal>
            <c:numRef>
              <c:f>UK!$F$24:$F$68</c:f>
              <c:numCache>
                <c:formatCode>General</c:formatCode>
                <c:ptCount val="45"/>
                <c:pt idx="0">
                  <c:v>0</c:v>
                </c:pt>
                <c:pt idx="1">
                  <c:v>5.823546641575128E-2</c:v>
                </c:pt>
                <c:pt idx="2">
                  <c:v>0.164729788588728</c:v>
                </c:pt>
                <c:pt idx="3">
                  <c:v>0.25918177931828212</c:v>
                </c:pt>
                <c:pt idx="4">
                  <c:v>0.34295318018494325</c:v>
                </c:pt>
                <c:pt idx="5">
                  <c:v>0.41725174762601036</c:v>
                </c:pt>
                <c:pt idx="6">
                  <c:v>0.48314866550830071</c:v>
                </c:pt>
                <c:pt idx="7">
                  <c:v>0.54159398869477648</c:v>
                </c:pt>
                <c:pt idx="8">
                  <c:v>0.59343034025940078</c:v>
                </c:pt>
                <c:pt idx="9">
                  <c:v>0.63940505982692164</c:v>
                </c:pt>
                <c:pt idx="10">
                  <c:v>0.68018097818369605</c:v>
                </c:pt>
                <c:pt idx="11">
                  <c:v>0.71634597350022955</c:v>
                </c:pt>
                <c:pt idx="12">
                  <c:v>0.74842144694024348</c:v>
                </c:pt>
                <c:pt idx="13">
                  <c:v>0.77686983985157021</c:v>
                </c:pt>
                <c:pt idx="14">
                  <c:v>0.80210130091638532</c:v>
                </c:pt>
                <c:pt idx="15">
                  <c:v>0.82447959938300319</c:v>
                </c:pt>
                <c:pt idx="16">
                  <c:v>0.84432736963200261</c:v>
                </c:pt>
                <c:pt idx="17">
                  <c:v>0.86193076268910718</c:v>
                </c:pt>
                <c:pt idx="18">
                  <c:v>0.87754357174701814</c:v>
                </c:pt>
                <c:pt idx="19">
                  <c:v>0.891390891175042</c:v>
                </c:pt>
                <c:pt idx="20">
                  <c:v>0.90367236176950694</c:v>
                </c:pt>
                <c:pt idx="21">
                  <c:v>0.91456504903267877</c:v>
                </c:pt>
                <c:pt idx="22">
                  <c:v>0.92422599597715449</c:v>
                </c:pt>
                <c:pt idx="23">
                  <c:v>0.93279448726025027</c:v>
                </c:pt>
                <c:pt idx="24">
                  <c:v>0.94039405729106063</c:v>
                </c:pt>
                <c:pt idx="25">
                  <c:v>0.94713427126164962</c:v>
                </c:pt>
                <c:pt idx="26">
                  <c:v>0.95311230478001152</c:v>
                </c:pt>
                <c:pt idx="27">
                  <c:v>0.95841434487882682</c:v>
                </c:pt>
                <c:pt idx="28">
                  <c:v>0.96311683259876002</c:v>
                </c:pt>
                <c:pt idx="29">
                  <c:v>0.96728756506098024</c:v>
                </c:pt>
                <c:pt idx="30">
                  <c:v>0.97098667291780294</c:v>
                </c:pt>
                <c:pt idx="31">
                  <c:v>0.9742674872736401</c:v>
                </c:pt>
                <c:pt idx="32">
                  <c:v>0.97717730857490703</c:v>
                </c:pt>
                <c:pt idx="33">
                  <c:v>0.97975808855419566</c:v>
                </c:pt>
                <c:pt idx="34">
                  <c:v>0.98204703506049718</c:v>
                </c:pt>
                <c:pt idx="35">
                  <c:v>0.98407714849548833</c:v>
                </c:pt>
                <c:pt idx="36">
                  <c:v>0.98587769758983601</c:v>
                </c:pt>
                <c:pt idx="37">
                  <c:v>0.9874746413789256</c:v>
                </c:pt>
                <c:pt idx="38">
                  <c:v>0.98889100346175773</c:v>
                </c:pt>
                <c:pt idx="39">
                  <c:v>0.99014720393881273</c:v>
                </c:pt>
                <c:pt idx="40">
                  <c:v>0.99126135381452674</c:v>
                </c:pt>
                <c:pt idx="41">
                  <c:v>0.99224951610886325</c:v>
                </c:pt>
                <c:pt idx="42">
                  <c:v>0.99312593744250377</c:v>
                </c:pt>
                <c:pt idx="43">
                  <c:v>0.99390325343448438</c:v>
                </c:pt>
                <c:pt idx="44">
                  <c:v>0.99459267087355907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54-4348-9E85-E00795EAA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36992"/>
        <c:axId val="91259264"/>
      </c:scatterChart>
      <c:valAx>
        <c:axId val="91236992"/>
        <c:scaling>
          <c:orientation val="minMax"/>
          <c:max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1259264"/>
        <c:crosses val="autoZero"/>
        <c:crossBetween val="midCat"/>
        <c:majorUnit val="10"/>
        <c:minorUnit val="2"/>
      </c:valAx>
      <c:valAx>
        <c:axId val="912592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12369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802371541501983"/>
          <c:y val="0.41015703231245482"/>
          <c:w val="0.18774703557312261"/>
          <c:h val="0.167969070375576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Relationship between the goodness of fit statistic (deviance) and the force of infection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UK!$R$11:$R$110</c:f>
            </c:numRef>
          </c:xVal>
          <c:yVal>
            <c:numRef>
              <c:f>UK!$S$11:$S$110</c:f>
            </c:numRef>
          </c:yVal>
          <c:smooth val="0"/>
          <c:extLst>
            <c:ext xmlns:c16="http://schemas.microsoft.com/office/drawing/2014/chart" uri="{C3380CC4-5D6E-409C-BE32-E72D297353CC}">
              <c16:uniqueId val="{00000000-5742-4E71-BAD7-0809BFBB1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20992"/>
        <c:axId val="100022912"/>
      </c:scatterChart>
      <c:valAx>
        <c:axId val="10002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force of infection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022912"/>
        <c:crosses val="autoZero"/>
        <c:crossBetween val="midCat"/>
      </c:valAx>
      <c:valAx>
        <c:axId val="100022912"/>
        <c:scaling>
          <c:orientation val="minMax"/>
          <c:max val="2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020992"/>
        <c:crosses val="autoZero"/>
        <c:crossBetween val="midCat"/>
        <c:majorUnit val="500"/>
        <c:minorUnit val="1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Figure 2: Graphical check for a constant force of infection (UK)</a:t>
            </a:r>
          </a:p>
        </c:rich>
      </c:tx>
      <c:layout>
        <c:manualLayout>
          <c:xMode val="edge"/>
          <c:yMode val="edge"/>
          <c:x val="0.13636363636363635"/>
          <c:y val="2.36220472440944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35968379446654E-2"/>
          <c:y val="0.20472440944881889"/>
          <c:w val="0.88142292490118568"/>
          <c:h val="0.76377952755905532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>
              <a:noFill/>
            </a:ln>
          </c:spPr>
          <c:xVal>
            <c:numRef>
              <c:f>UK!$A$24:$A$68</c:f>
              <c:numCache>
                <c:formatCode>General</c:formatCode>
                <c:ptCount val="45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2.5</c:v>
                </c:pt>
                <c:pt idx="4">
                  <c:v>3.5</c:v>
                </c:pt>
                <c:pt idx="5">
                  <c:v>4.5</c:v>
                </c:pt>
                <c:pt idx="6">
                  <c:v>5.5</c:v>
                </c:pt>
                <c:pt idx="7">
                  <c:v>6.5</c:v>
                </c:pt>
                <c:pt idx="8">
                  <c:v>7.5</c:v>
                </c:pt>
                <c:pt idx="9">
                  <c:v>8.5</c:v>
                </c:pt>
                <c:pt idx="10">
                  <c:v>9.5</c:v>
                </c:pt>
                <c:pt idx="11">
                  <c:v>10.5</c:v>
                </c:pt>
                <c:pt idx="12">
                  <c:v>11.5</c:v>
                </c:pt>
                <c:pt idx="13">
                  <c:v>12.5</c:v>
                </c:pt>
                <c:pt idx="14">
                  <c:v>13.5</c:v>
                </c:pt>
                <c:pt idx="15">
                  <c:v>14.5</c:v>
                </c:pt>
                <c:pt idx="16">
                  <c:v>15.5</c:v>
                </c:pt>
                <c:pt idx="17">
                  <c:v>16.5</c:v>
                </c:pt>
                <c:pt idx="18">
                  <c:v>17.5</c:v>
                </c:pt>
                <c:pt idx="19">
                  <c:v>18.5</c:v>
                </c:pt>
                <c:pt idx="20">
                  <c:v>19.5</c:v>
                </c:pt>
                <c:pt idx="21">
                  <c:v>20.5</c:v>
                </c:pt>
                <c:pt idx="22">
                  <c:v>21.5</c:v>
                </c:pt>
                <c:pt idx="23">
                  <c:v>22.5</c:v>
                </c:pt>
                <c:pt idx="24">
                  <c:v>23.5</c:v>
                </c:pt>
                <c:pt idx="25">
                  <c:v>24.5</c:v>
                </c:pt>
                <c:pt idx="26">
                  <c:v>25.5</c:v>
                </c:pt>
                <c:pt idx="27">
                  <c:v>26.5</c:v>
                </c:pt>
                <c:pt idx="28">
                  <c:v>27.5</c:v>
                </c:pt>
                <c:pt idx="29">
                  <c:v>28.5</c:v>
                </c:pt>
                <c:pt idx="30">
                  <c:v>29.5</c:v>
                </c:pt>
                <c:pt idx="31">
                  <c:v>30.5</c:v>
                </c:pt>
                <c:pt idx="32">
                  <c:v>31.5</c:v>
                </c:pt>
                <c:pt idx="33">
                  <c:v>32.5</c:v>
                </c:pt>
                <c:pt idx="34">
                  <c:v>33.5</c:v>
                </c:pt>
                <c:pt idx="35">
                  <c:v>34.5</c:v>
                </c:pt>
                <c:pt idx="36">
                  <c:v>35.5</c:v>
                </c:pt>
                <c:pt idx="37">
                  <c:v>36.5</c:v>
                </c:pt>
                <c:pt idx="38">
                  <c:v>37.5</c:v>
                </c:pt>
                <c:pt idx="39">
                  <c:v>38.5</c:v>
                </c:pt>
                <c:pt idx="40">
                  <c:v>39.5</c:v>
                </c:pt>
                <c:pt idx="41">
                  <c:v>40.5</c:v>
                </c:pt>
                <c:pt idx="42">
                  <c:v>41.5</c:v>
                </c:pt>
                <c:pt idx="43">
                  <c:v>42.5</c:v>
                </c:pt>
                <c:pt idx="44">
                  <c:v>43.5</c:v>
                </c:pt>
              </c:numCache>
            </c:numRef>
          </c:xVal>
          <c:yVal>
            <c:numRef>
              <c:f>UK!$I$24:$I$68</c:f>
              <c:numCache>
                <c:formatCode>General</c:formatCode>
                <c:ptCount val="4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6-4F68-B0E1-876026BDD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43008"/>
        <c:axId val="100048896"/>
      </c:scatterChart>
      <c:valAx>
        <c:axId val="10004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048896"/>
        <c:crosses val="autoZero"/>
        <c:crossBetween val="midCat"/>
      </c:valAx>
      <c:valAx>
        <c:axId val="100048896"/>
        <c:scaling>
          <c:orientation val="minMax"/>
          <c:max val="4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043008"/>
        <c:crosses val="autoZero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200" verticalDpi="200" copies="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Figure 1: Comparison between the observed and expected proportion seropositive</a:t>
            </a:r>
          </a:p>
        </c:rich>
      </c:tx>
      <c:layout>
        <c:manualLayout>
          <c:xMode val="edge"/>
          <c:yMode val="edge"/>
          <c:x val="0.15674633546149461"/>
          <c:y val="2.3529501874624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12719557445819"/>
          <c:y val="0.16470651312236953"/>
          <c:w val="0.81349363973687028"/>
          <c:h val="0.6862771380098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China!$A$24:$A$35</c:f>
              <c:numCache>
                <c:formatCode>General</c:formatCode>
                <c:ptCount val="12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13</c:v>
                </c:pt>
                <c:pt idx="8">
                  <c:v>18</c:v>
                </c:pt>
                <c:pt idx="9">
                  <c:v>23</c:v>
                </c:pt>
                <c:pt idx="10">
                  <c:v>28</c:v>
                </c:pt>
                <c:pt idx="11">
                  <c:v>35.5</c:v>
                </c:pt>
              </c:numCache>
            </c:numRef>
          </c:xVal>
          <c:yVal>
            <c:numRef>
              <c:f>China!$E$24:$E$35</c:f>
              <c:numCache>
                <c:formatCode>0.0000</c:formatCode>
                <c:ptCount val="12"/>
                <c:pt idx="1">
                  <c:v>0.34464751958224543</c:v>
                </c:pt>
                <c:pt idx="2">
                  <c:v>0.41925465838509318</c:v>
                </c:pt>
                <c:pt idx="3">
                  <c:v>0.56901840490797551</c:v>
                </c:pt>
                <c:pt idx="4">
                  <c:v>0.63467048710601714</c:v>
                </c:pt>
                <c:pt idx="5">
                  <c:v>0.73582295988934998</c:v>
                </c:pt>
                <c:pt idx="6">
                  <c:v>0.88486265341905324</c:v>
                </c:pt>
                <c:pt idx="7">
                  <c:v>0.95998332638599415</c:v>
                </c:pt>
                <c:pt idx="8">
                  <c:v>0.96193952033368091</c:v>
                </c:pt>
                <c:pt idx="9">
                  <c:v>0.95197044334975367</c:v>
                </c:pt>
                <c:pt idx="10">
                  <c:v>0.94622950819672136</c:v>
                </c:pt>
                <c:pt idx="11">
                  <c:v>0.96808045474420634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C-44A9-B744-70BE4B3E97E1}"/>
            </c:ext>
          </c:extLst>
        </c:ser>
        <c:ser>
          <c:idx val="1"/>
          <c:order val="1"/>
          <c:tx>
            <c:v>Predicted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China!$A$24:$A$35</c:f>
              <c:numCache>
                <c:formatCode>General</c:formatCode>
                <c:ptCount val="12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13</c:v>
                </c:pt>
                <c:pt idx="8">
                  <c:v>18</c:v>
                </c:pt>
                <c:pt idx="9">
                  <c:v>23</c:v>
                </c:pt>
                <c:pt idx="10">
                  <c:v>28</c:v>
                </c:pt>
                <c:pt idx="11">
                  <c:v>35.5</c:v>
                </c:pt>
              </c:numCache>
            </c:numRef>
          </c:xVal>
          <c:yVal>
            <c:numRef>
              <c:f>China!$F$24:$F$35</c:f>
              <c:numCache>
                <c:formatCode>General</c:formatCode>
                <c:ptCount val="1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9C-44A9-B744-70BE4B3E9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41792"/>
        <c:axId val="100243328"/>
      </c:scatterChart>
      <c:valAx>
        <c:axId val="100241792"/>
        <c:scaling>
          <c:orientation val="minMax"/>
          <c:max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243328"/>
        <c:crosses val="autoZero"/>
        <c:crossBetween val="midCat"/>
        <c:majorUnit val="10"/>
        <c:minorUnit val="2"/>
      </c:valAx>
      <c:valAx>
        <c:axId val="1002433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2417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801683798525481"/>
          <c:y val="0.41176628280592381"/>
          <c:w val="0.18849242871951871"/>
          <c:h val="0.16862809676814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Relationship between the goodness of fit statistic (deviance) and the force of infection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China!$R$11:$R$110</c:f>
            </c:numRef>
          </c:xVal>
          <c:yVal>
            <c:numRef>
              <c:f>China!$S$11:$S$110</c:f>
            </c:numRef>
          </c:yVal>
          <c:smooth val="0"/>
          <c:extLst>
            <c:ext xmlns:c16="http://schemas.microsoft.com/office/drawing/2014/chart" uri="{C3380CC4-5D6E-409C-BE32-E72D297353CC}">
              <c16:uniqueId val="{00000000-5E25-4420-B280-091BAB75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2096"/>
        <c:axId val="100294016"/>
      </c:scatterChart>
      <c:valAx>
        <c:axId val="10029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force of infection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294016"/>
        <c:crosses val="autoZero"/>
        <c:crossBetween val="midCat"/>
      </c:valAx>
      <c:valAx>
        <c:axId val="100294016"/>
        <c:scaling>
          <c:orientation val="minMax"/>
          <c:max val="10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292096"/>
        <c:crosses val="autoZero"/>
        <c:crossBetween val="midCat"/>
        <c:majorUnit val="2500"/>
        <c:minorUnit val="1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Figure 2: Graphical check for a constant force of infection (China)</a:t>
            </a:r>
          </a:p>
        </c:rich>
      </c:tx>
      <c:layout>
        <c:manualLayout>
          <c:xMode val="edge"/>
          <c:yMode val="edge"/>
          <c:x val="0.16468285877600053"/>
          <c:y val="2.3715460789781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555663201542357E-2"/>
          <c:y val="0.20158141671314675"/>
          <c:w val="0.8809540879101716"/>
          <c:h val="0.76679989886961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>
              <a:noFill/>
            </a:ln>
          </c:spPr>
          <c:xVal>
            <c:numRef>
              <c:f>China!$A$24:$A$35</c:f>
              <c:numCache>
                <c:formatCode>General</c:formatCode>
                <c:ptCount val="12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13</c:v>
                </c:pt>
                <c:pt idx="8">
                  <c:v>18</c:v>
                </c:pt>
                <c:pt idx="9">
                  <c:v>23</c:v>
                </c:pt>
                <c:pt idx="10">
                  <c:v>28</c:v>
                </c:pt>
                <c:pt idx="11">
                  <c:v>35.5</c:v>
                </c:pt>
              </c:numCache>
            </c:numRef>
          </c:xVal>
          <c:yVal>
            <c:numRef>
              <c:f>China!$I$24:$I$35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67-41D3-B3E3-591A554B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09632"/>
        <c:axId val="91423104"/>
      </c:scatterChart>
      <c:valAx>
        <c:axId val="10030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1423104"/>
        <c:crosses val="autoZero"/>
        <c:crossBetween val="midCat"/>
      </c:valAx>
      <c:valAx>
        <c:axId val="91423104"/>
        <c:scaling>
          <c:orientation val="minMax"/>
          <c:max val="4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0309632"/>
        <c:crosses val="autoZero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47625</xdr:rowOff>
    </xdr:from>
    <xdr:to>
      <xdr:col>16</xdr:col>
      <xdr:colOff>581025</xdr:colOff>
      <xdr:row>28</xdr:row>
      <xdr:rowOff>28575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123825</xdr:colOff>
      <xdr:row>10</xdr:row>
      <xdr:rowOff>9525</xdr:rowOff>
    </xdr:from>
    <xdr:to>
      <xdr:col>27</xdr:col>
      <xdr:colOff>28575</xdr:colOff>
      <xdr:row>29</xdr:row>
      <xdr:rowOff>38100</xdr:rowOff>
    </xdr:to>
    <xdr:graphicFrame macro="">
      <xdr:nvGraphicFramePr>
        <xdr:cNvPr id="3074" name="Chart 2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</xdr:colOff>
      <xdr:row>28</xdr:row>
      <xdr:rowOff>47625</xdr:rowOff>
    </xdr:from>
    <xdr:to>
      <xdr:col>16</xdr:col>
      <xdr:colOff>581025</xdr:colOff>
      <xdr:row>43</xdr:row>
      <xdr:rowOff>38100</xdr:rowOff>
    </xdr:to>
    <xdr:graphicFrame macro="">
      <xdr:nvGraphicFramePr>
        <xdr:cNvPr id="3077" name="Chart 5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0.01378</cdr:x>
      <cdr:y>0.26453</cdr:y>
    </cdr:from>
    <cdr:to>
      <cdr:x>0.07701</cdr:x>
      <cdr:y>0.87555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736" y="650732"/>
          <a:ext cx="305338" cy="14957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Proportion positive</a:t>
          </a:r>
        </a:p>
      </cdr:txBody>
    </cdr:sp>
  </cdr:relSizeAnchor>
  <cdr:relSizeAnchor xmlns:cdr="http://schemas.openxmlformats.org/drawingml/2006/chartDrawing">
    <cdr:from>
      <cdr:x>0.45295</cdr:x>
      <cdr:y>0.89212</cdr:y>
    </cdr:from>
    <cdr:to>
      <cdr:x>0.65807</cdr:x>
      <cdr:y>0.98151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90534" y="2187029"/>
          <a:ext cx="990574" cy="2187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Age (yrs)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0.01305</cdr:x>
      <cdr:y>0.44451</cdr:y>
    </cdr:from>
    <cdr:to>
      <cdr:x>0.09784</cdr:x>
      <cdr:y>0.85237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185" y="1082846"/>
          <a:ext cx="409485" cy="9906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-ln(S</a:t>
          </a:r>
          <a:r>
            <a:rPr lang="en-GB" sz="1000" b="1" i="0" strike="noStrike" baseline="-2500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/N</a:t>
          </a:r>
          <a:r>
            <a:rPr lang="en-GB" sz="1000" b="1" i="0" strike="noStrike" baseline="-2500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0.44486</cdr:x>
      <cdr:y>0.86894</cdr:y>
    </cdr:from>
    <cdr:to>
      <cdr:x>0.72105</cdr:x>
      <cdr:y>0.99048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51479" y="2113725"/>
          <a:ext cx="1333784" cy="2952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Age (yrs)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1</xdr:row>
      <xdr:rowOff>9525</xdr:rowOff>
    </xdr:from>
    <xdr:to>
      <xdr:col>16</xdr:col>
      <xdr:colOff>571500</xdr:colOff>
      <xdr:row>27</xdr:row>
      <xdr:rowOff>142875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123825</xdr:colOff>
      <xdr:row>10</xdr:row>
      <xdr:rowOff>9525</xdr:rowOff>
    </xdr:from>
    <xdr:to>
      <xdr:col>27</xdr:col>
      <xdr:colOff>28575</xdr:colOff>
      <xdr:row>29</xdr:row>
      <xdr:rowOff>38100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28</xdr:row>
      <xdr:rowOff>9525</xdr:rowOff>
    </xdr:from>
    <xdr:to>
      <xdr:col>16</xdr:col>
      <xdr:colOff>571500</xdr:colOff>
      <xdr:row>42</xdr:row>
      <xdr:rowOff>152400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0.01382</cdr:x>
      <cdr:y>0.26169</cdr:y>
    </cdr:from>
    <cdr:to>
      <cdr:x>0.07729</cdr:x>
      <cdr:y>0.87501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660" y="641274"/>
          <a:ext cx="305288" cy="14955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Proportion positive</a:t>
          </a:r>
        </a:p>
      </cdr:txBody>
    </cdr:sp>
  </cdr:relSizeAnchor>
  <cdr:relSizeAnchor xmlns:cdr="http://schemas.openxmlformats.org/drawingml/2006/chartDrawing">
    <cdr:from>
      <cdr:x>0.45222</cdr:x>
      <cdr:y>0.89134</cdr:y>
    </cdr:from>
    <cdr:to>
      <cdr:x>0.65806</cdr:x>
      <cdr:y>0.97326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8387" y="2176623"/>
          <a:ext cx="990124" cy="1997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Age (yrs)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0.01309</cdr:x>
      <cdr:y>0.38016</cdr:y>
    </cdr:from>
    <cdr:to>
      <cdr:x>0.09812</cdr:x>
      <cdr:y>0.76994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123" y="922919"/>
          <a:ext cx="409016" cy="9430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-ln(S</a:t>
          </a:r>
          <a:r>
            <a:rPr lang="en-GB" sz="1000" b="1" i="0" strike="noStrike" baseline="-2500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/N</a:t>
          </a:r>
          <a:r>
            <a:rPr lang="en-GB" sz="1000" b="1" i="0" strike="noStrike" baseline="-2500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0.44854</cdr:x>
      <cdr:y>0.86816</cdr:y>
    </cdr:from>
    <cdr:to>
      <cdr:x>0.72373</cdr:x>
      <cdr:y>0.98224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0707" y="2103561"/>
          <a:ext cx="1323701" cy="2759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Age (yrs)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1"/>
  <dimension ref="A1:AE110"/>
  <sheetViews>
    <sheetView tabSelected="1" zoomScale="75" workbookViewId="0">
      <selection activeCell="G17" sqref="G17"/>
    </sheetView>
  </sheetViews>
  <sheetFormatPr defaultRowHeight="13.2" x14ac:dyDescent="0.25"/>
  <cols>
    <col min="3" max="3" width="8.5546875" customWidth="1"/>
    <col min="4" max="4" width="8.33203125" customWidth="1"/>
    <col min="5" max="5" width="11.6640625" customWidth="1"/>
    <col min="6" max="6" width="13.5546875" customWidth="1"/>
    <col min="7" max="8" width="15" customWidth="1"/>
    <col min="9" max="9" width="9.109375" customWidth="1"/>
    <col min="18" max="18" width="9.88671875" hidden="1" customWidth="1"/>
    <col min="19" max="28" width="9.109375" hidden="1" customWidth="1"/>
  </cols>
  <sheetData>
    <row r="1" spans="1:28" s="2" customFormat="1" x14ac:dyDescent="0.25">
      <c r="A1" s="1" t="s">
        <v>35</v>
      </c>
    </row>
    <row r="2" spans="1:28" s="2" customFormat="1" x14ac:dyDescent="0.25">
      <c r="A2" s="3"/>
      <c r="B2" s="3"/>
      <c r="C2" s="3"/>
      <c r="D2" s="3"/>
      <c r="E2" s="4" t="s">
        <v>1</v>
      </c>
      <c r="F2" s="3"/>
    </row>
    <row r="3" spans="1:28" s="2" customFormat="1" x14ac:dyDescent="0.25">
      <c r="A3" s="3"/>
      <c r="B3" s="4" t="s">
        <v>2</v>
      </c>
      <c r="C3" s="3"/>
      <c r="D3" s="5" t="s">
        <v>3</v>
      </c>
      <c r="E3" s="4" t="s">
        <v>4</v>
      </c>
      <c r="F3" s="3"/>
    </row>
    <row r="4" spans="1:28" s="2" customFormat="1" x14ac:dyDescent="0.25">
      <c r="A4" s="3"/>
      <c r="B4" s="3" t="s">
        <v>5</v>
      </c>
      <c r="C4" s="3"/>
      <c r="D4" s="6">
        <v>0.12</v>
      </c>
      <c r="E4" s="7" t="s">
        <v>29</v>
      </c>
      <c r="F4" s="3"/>
    </row>
    <row r="5" spans="1:28" s="2" customFormat="1" ht="12.6" customHeight="1" x14ac:dyDescent="0.25">
      <c r="A5"/>
      <c r="B5"/>
      <c r="C5"/>
      <c r="D5"/>
      <c r="E5"/>
      <c r="F5"/>
    </row>
    <row r="6" spans="1:28" s="2" customFormat="1" x14ac:dyDescent="0.25">
      <c r="A6" s="8" t="s">
        <v>7</v>
      </c>
      <c r="B6" s="8"/>
      <c r="C6" s="9"/>
      <c r="D6" s="10">
        <f>2*(SUM(G25:G68)-SUM(H25:H68))</f>
        <v>135.9583066803998</v>
      </c>
      <c r="E6" s="9"/>
      <c r="F6" s="9"/>
    </row>
    <row r="7" spans="1:28" s="2" customFormat="1" x14ac:dyDescent="0.25">
      <c r="A7" s="9" t="s">
        <v>8</v>
      </c>
      <c r="B7" s="9"/>
      <c r="C7" s="9"/>
      <c r="D7" s="9"/>
      <c r="E7" s="9"/>
      <c r="F7" s="9"/>
    </row>
    <row r="8" spans="1:28" s="2" customFormat="1" x14ac:dyDescent="0.25">
      <c r="A8" s="11" t="s">
        <v>9</v>
      </c>
      <c r="B8" s="12"/>
      <c r="C8" s="12"/>
      <c r="D8" s="12"/>
      <c r="E8" s="9"/>
      <c r="F8" s="9"/>
      <c r="R8" s="40" t="s">
        <v>30</v>
      </c>
      <c r="S8" s="41" t="s">
        <v>32</v>
      </c>
      <c r="T8" s="38"/>
      <c r="U8" s="38"/>
      <c r="V8" s="38"/>
      <c r="W8" s="38"/>
      <c r="X8" s="38"/>
      <c r="Y8" s="38"/>
      <c r="Z8" s="38"/>
      <c r="AA8" s="38"/>
      <c r="AB8" s="38"/>
    </row>
    <row r="9" spans="1:28" s="2" customFormat="1" x14ac:dyDescent="0.25">
      <c r="A9" s="11" t="s">
        <v>10</v>
      </c>
      <c r="B9" s="12"/>
      <c r="C9" s="12"/>
      <c r="D9" s="11">
        <f>D6-C14</f>
        <v>135.9583066803998</v>
      </c>
      <c r="E9" s="9"/>
      <c r="F9" s="9"/>
      <c r="G9" s="13"/>
      <c r="H9" s="13"/>
      <c r="I9" s="13"/>
      <c r="R9" s="40" t="s">
        <v>31</v>
      </c>
      <c r="S9" s="41" t="s">
        <v>33</v>
      </c>
      <c r="T9" s="38"/>
      <c r="U9" s="38"/>
      <c r="V9" s="38"/>
      <c r="W9" s="38"/>
      <c r="X9" s="38"/>
      <c r="Y9" s="38"/>
      <c r="Z9" s="38"/>
      <c r="AA9" s="38"/>
      <c r="AB9" s="38"/>
    </row>
    <row r="10" spans="1:28" s="2" customFormat="1" ht="13.8" thickBot="1" x14ac:dyDescent="0.3">
      <c r="A10"/>
      <c r="B10"/>
      <c r="C10"/>
      <c r="D10"/>
      <c r="E10"/>
      <c r="F10"/>
      <c r="G10" s="14"/>
      <c r="H10" s="14"/>
      <c r="I10" s="14"/>
      <c r="R10" s="39"/>
      <c r="S10" s="42">
        <f>D6</f>
        <v>135.9583066803998</v>
      </c>
      <c r="T10" s="38"/>
      <c r="U10" s="38"/>
      <c r="V10" s="38"/>
      <c r="W10" s="38"/>
      <c r="X10" s="38"/>
      <c r="Y10" s="38"/>
      <c r="Z10" s="38"/>
      <c r="AA10" s="38"/>
      <c r="AB10" s="38"/>
    </row>
    <row r="11" spans="1:28" s="2" customFormat="1" x14ac:dyDescent="0.25">
      <c r="A11" s="15" t="s">
        <v>34</v>
      </c>
      <c r="B11" s="16"/>
      <c r="C11" s="16"/>
      <c r="D11" s="47" t="s">
        <v>11</v>
      </c>
      <c r="E11" s="47"/>
      <c r="F11" s="17"/>
      <c r="G11" s="14"/>
      <c r="H11" s="14"/>
      <c r="I11" s="14"/>
      <c r="R11" s="39">
        <v>5.0000000000000001E-3</v>
      </c>
      <c r="S11" s="42">
        <f t="dataTable" ref="S11:S110" dt2D="0" dtr="0" r1="D4"/>
        <v>135.9583066803998</v>
      </c>
      <c r="T11" s="38"/>
      <c r="U11" s="38"/>
      <c r="V11" s="38"/>
      <c r="W11" s="38"/>
      <c r="X11" s="38"/>
      <c r="Y11" s="38"/>
      <c r="Z11" s="38"/>
      <c r="AA11" s="38"/>
      <c r="AB11" s="38"/>
    </row>
    <row r="12" spans="1:28" s="2" customFormat="1" x14ac:dyDescent="0.25">
      <c r="A12" s="18"/>
      <c r="B12" s="19"/>
      <c r="C12" s="19" t="s">
        <v>12</v>
      </c>
      <c r="D12" s="19" t="s">
        <v>13</v>
      </c>
      <c r="E12" s="19" t="s">
        <v>14</v>
      </c>
      <c r="F12" s="20"/>
      <c r="G12" s="13"/>
      <c r="H12" s="13"/>
      <c r="I12" s="13"/>
      <c r="R12" s="39">
        <f>R11+0.005</f>
        <v>0.01</v>
      </c>
      <c r="S12" s="42">
        <v>135.9583066803998</v>
      </c>
      <c r="T12" s="38"/>
      <c r="U12" s="38"/>
      <c r="V12" s="38"/>
      <c r="W12" s="38"/>
      <c r="X12" s="38"/>
      <c r="Y12" s="38"/>
      <c r="Z12" s="38"/>
      <c r="AA12" s="38"/>
      <c r="AB12" s="38"/>
    </row>
    <row r="13" spans="1:28" s="2" customFormat="1" x14ac:dyDescent="0.25">
      <c r="A13" s="18"/>
      <c r="B13" s="19" t="s">
        <v>6</v>
      </c>
      <c r="C13" s="19"/>
      <c r="D13" s="19"/>
      <c r="E13" s="19"/>
      <c r="F13" s="21"/>
      <c r="R13" s="39">
        <f t="shared" ref="R13:R76" si="0">R12+0.005</f>
        <v>1.4999999999999999E-2</v>
      </c>
      <c r="S13" s="42">
        <v>135.9583066803998</v>
      </c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2" customFormat="1" ht="13.8" thickBot="1" x14ac:dyDescent="0.3">
      <c r="A14" s="22" t="s">
        <v>15</v>
      </c>
      <c r="B14" s="23"/>
      <c r="C14" s="23"/>
      <c r="D14" s="23"/>
      <c r="E14" s="23"/>
      <c r="F14" s="24"/>
      <c r="R14" s="39">
        <f t="shared" si="0"/>
        <v>0.02</v>
      </c>
      <c r="S14" s="42">
        <v>135.9583066803998</v>
      </c>
      <c r="T14" s="38"/>
      <c r="U14" s="38"/>
      <c r="V14" s="38"/>
      <c r="W14" s="38"/>
      <c r="X14" s="38"/>
      <c r="Y14" s="38"/>
      <c r="Z14" s="38"/>
      <c r="AA14" s="38"/>
      <c r="AB14" s="38"/>
    </row>
    <row r="15" spans="1:28" s="2" customFormat="1" x14ac:dyDescent="0.25">
      <c r="A15" s="19"/>
      <c r="B15" s="19"/>
      <c r="C15" s="19"/>
      <c r="D15" s="19"/>
      <c r="E15" s="19"/>
      <c r="F15" s="25"/>
      <c r="R15" s="39">
        <f t="shared" si="0"/>
        <v>2.5000000000000001E-2</v>
      </c>
      <c r="S15" s="42">
        <v>135.9583066803998</v>
      </c>
      <c r="T15" s="38"/>
      <c r="U15" s="38"/>
      <c r="V15" s="38"/>
      <c r="W15" s="38"/>
      <c r="X15" s="38"/>
      <c r="Y15" s="38"/>
      <c r="Z15" s="38"/>
      <c r="AA15" s="38"/>
      <c r="AB15" s="38"/>
    </row>
    <row r="16" spans="1:28" s="2" customFormat="1" x14ac:dyDescent="0.25">
      <c r="A16" s="26"/>
      <c r="B16" s="27"/>
      <c r="C16" s="27"/>
      <c r="D16" s="27"/>
      <c r="E16" s="19"/>
      <c r="F16" s="25"/>
      <c r="R16" s="39">
        <f t="shared" si="0"/>
        <v>3.0000000000000002E-2</v>
      </c>
      <c r="S16" s="42">
        <v>135.9583066803998</v>
      </c>
      <c r="T16" s="38"/>
      <c r="U16" s="38"/>
      <c r="V16" s="38"/>
      <c r="W16" s="38"/>
      <c r="X16" s="38"/>
      <c r="Y16" s="38"/>
      <c r="Z16" s="38"/>
      <c r="AA16" s="38"/>
      <c r="AB16" s="38"/>
    </row>
    <row r="17" spans="1:31" s="2" customFormat="1" x14ac:dyDescent="0.25">
      <c r="A17" s="26"/>
      <c r="B17" s="27"/>
      <c r="C17" s="27"/>
      <c r="D17" s="27"/>
      <c r="E17" s="19"/>
      <c r="F17" s="25"/>
      <c r="R17" s="39">
        <f t="shared" si="0"/>
        <v>3.5000000000000003E-2</v>
      </c>
      <c r="S17" s="42">
        <v>135.9583066803998</v>
      </c>
      <c r="T17" s="38"/>
      <c r="U17" s="38"/>
      <c r="V17" s="38"/>
      <c r="W17" s="38"/>
      <c r="X17" s="38"/>
      <c r="Y17" s="38"/>
      <c r="Z17" s="38"/>
      <c r="AA17" s="38"/>
      <c r="AB17" s="38"/>
    </row>
    <row r="18" spans="1:31" s="2" customFormat="1" x14ac:dyDescent="0.25">
      <c r="A18" s="26"/>
      <c r="B18" s="28"/>
      <c r="C18" s="28"/>
      <c r="D18" s="26"/>
      <c r="E18" s="19"/>
      <c r="F18" s="25"/>
      <c r="R18" s="39">
        <f t="shared" si="0"/>
        <v>0.04</v>
      </c>
      <c r="S18" s="42">
        <v>135.9583066803998</v>
      </c>
      <c r="T18" s="38"/>
      <c r="U18" s="38"/>
      <c r="V18" s="38"/>
      <c r="W18" s="38"/>
      <c r="X18" s="38"/>
      <c r="Y18" s="38"/>
      <c r="Z18" s="38"/>
      <c r="AA18" s="38"/>
      <c r="AB18" s="38"/>
    </row>
    <row r="19" spans="1:31" s="2" customFormat="1" x14ac:dyDescent="0.25">
      <c r="R19" s="39">
        <f t="shared" si="0"/>
        <v>4.4999999999999998E-2</v>
      </c>
      <c r="S19" s="42">
        <v>135.9583066803998</v>
      </c>
      <c r="T19" s="38"/>
      <c r="U19" s="38"/>
      <c r="V19" s="38"/>
      <c r="W19" s="38"/>
      <c r="X19" s="38"/>
      <c r="Y19" s="38"/>
      <c r="Z19" s="38"/>
      <c r="AA19" s="38"/>
      <c r="AB19" s="38"/>
    </row>
    <row r="20" spans="1:31" s="2" customFormat="1" x14ac:dyDescent="0.25">
      <c r="A20" s="29"/>
      <c r="B20" s="29"/>
      <c r="C20" s="29"/>
      <c r="D20" s="29"/>
      <c r="E20" s="29"/>
      <c r="F20" s="30" t="s">
        <v>16</v>
      </c>
      <c r="G20" s="46" t="s">
        <v>17</v>
      </c>
      <c r="H20" s="46"/>
      <c r="I20" s="44"/>
      <c r="R20" s="39">
        <f t="shared" si="0"/>
        <v>4.9999999999999996E-2</v>
      </c>
      <c r="S20" s="42">
        <v>135.9583066803998</v>
      </c>
      <c r="T20" s="38"/>
      <c r="U20" s="38"/>
      <c r="V20" s="38"/>
      <c r="W20" s="38"/>
      <c r="X20" s="38"/>
      <c r="Y20" s="38"/>
      <c r="Z20" s="38"/>
      <c r="AA20" s="38"/>
      <c r="AB20" s="38"/>
    </row>
    <row r="21" spans="1:31" ht="16.2" thickBot="1" x14ac:dyDescent="0.4">
      <c r="A21" s="32" t="s">
        <v>18</v>
      </c>
      <c r="B21" s="45" t="s">
        <v>19</v>
      </c>
      <c r="C21" s="45"/>
      <c r="D21" s="45"/>
      <c r="E21" s="32" t="s">
        <v>20</v>
      </c>
      <c r="F21" s="30" t="s">
        <v>38</v>
      </c>
      <c r="G21" s="46" t="s">
        <v>21</v>
      </c>
      <c r="H21" s="46"/>
      <c r="I21" s="43" t="s">
        <v>36</v>
      </c>
      <c r="R21" s="39">
        <f t="shared" si="0"/>
        <v>5.4999999999999993E-2</v>
      </c>
      <c r="S21" s="42">
        <v>135.9583066803998</v>
      </c>
      <c r="T21" s="38"/>
      <c r="U21" s="38"/>
      <c r="V21" s="38"/>
      <c r="W21" s="38"/>
      <c r="X21" s="38"/>
      <c r="Y21" s="38"/>
      <c r="Z21" s="38"/>
      <c r="AA21" s="38"/>
      <c r="AB21" s="38"/>
    </row>
    <row r="22" spans="1:31" x14ac:dyDescent="0.25">
      <c r="A22" s="32" t="s">
        <v>22</v>
      </c>
      <c r="B22" s="33" t="s">
        <v>23</v>
      </c>
      <c r="C22" s="33" t="s">
        <v>24</v>
      </c>
      <c r="D22" s="33" t="s">
        <v>25</v>
      </c>
      <c r="E22" s="32" t="s">
        <v>23</v>
      </c>
      <c r="F22" s="30" t="s">
        <v>37</v>
      </c>
      <c r="G22" s="31" t="s">
        <v>26</v>
      </c>
      <c r="H22" s="31" t="s">
        <v>27</v>
      </c>
      <c r="I22" s="44"/>
      <c r="R22" s="39">
        <f t="shared" si="0"/>
        <v>5.9999999999999991E-2</v>
      </c>
      <c r="S22" s="42">
        <v>135.9583066803998</v>
      </c>
      <c r="T22" s="38"/>
      <c r="U22" s="38"/>
      <c r="V22" s="38"/>
      <c r="W22" s="38"/>
      <c r="X22" s="38"/>
      <c r="Y22" s="38"/>
      <c r="Z22" s="38"/>
      <c r="AA22" s="38"/>
      <c r="AB22" s="38"/>
      <c r="AE22" cm="1">
        <f t="array" ref="AE22">SUM((F25:F68-E25:E68)^2)</f>
        <v>0.10920847363077778</v>
      </c>
    </row>
    <row r="23" spans="1:31" x14ac:dyDescent="0.25">
      <c r="A23" s="32"/>
      <c r="B23" s="33"/>
      <c r="C23" s="33"/>
      <c r="D23" s="33"/>
      <c r="E23" s="32"/>
      <c r="F23" s="30"/>
      <c r="G23" s="31" t="s">
        <v>28</v>
      </c>
      <c r="H23" s="31" t="s">
        <v>28</v>
      </c>
      <c r="I23" s="44"/>
      <c r="R23" s="39">
        <f t="shared" si="0"/>
        <v>6.4999999999999988E-2</v>
      </c>
      <c r="S23" s="42">
        <v>135.9583066803998</v>
      </c>
      <c r="T23" s="38"/>
      <c r="U23" s="38"/>
      <c r="V23" s="38"/>
      <c r="W23" s="38"/>
      <c r="X23" s="38"/>
      <c r="Y23" s="38"/>
      <c r="Z23" s="38"/>
      <c r="AA23" s="38"/>
      <c r="AB23" s="38"/>
    </row>
    <row r="24" spans="1:31" x14ac:dyDescent="0.25">
      <c r="A24" s="37">
        <v>0</v>
      </c>
      <c r="B24" s="37"/>
      <c r="C24" s="37"/>
      <c r="D24" s="37"/>
      <c r="E24" s="37"/>
      <c r="F24" s="34">
        <v>0</v>
      </c>
      <c r="G24" s="9"/>
      <c r="H24" s="9"/>
      <c r="I24" s="44"/>
      <c r="R24" s="39">
        <f t="shared" si="0"/>
        <v>6.9999999999999993E-2</v>
      </c>
      <c r="S24" s="42">
        <v>135.9583066803998</v>
      </c>
      <c r="T24" s="38"/>
      <c r="U24" s="38"/>
      <c r="V24" s="38"/>
      <c r="W24" s="38"/>
      <c r="X24" s="38"/>
      <c r="Y24" s="38"/>
      <c r="Z24" s="38"/>
      <c r="AA24" s="38"/>
      <c r="AB24" s="38"/>
    </row>
    <row r="25" spans="1:31" x14ac:dyDescent="0.25">
      <c r="A25" s="37">
        <v>0.5</v>
      </c>
      <c r="B25" s="37">
        <v>31</v>
      </c>
      <c r="C25" s="37">
        <v>175</v>
      </c>
      <c r="D25" s="37">
        <f>SUM(B25:C25)</f>
        <v>206</v>
      </c>
      <c r="E25" s="37">
        <f>B25/D25</f>
        <v>0.15048543689320387</v>
      </c>
      <c r="F25" s="34">
        <f>1-EXP((-A25)*0.12)</f>
        <v>5.823546641575128E-2</v>
      </c>
      <c r="G25" s="8">
        <f t="shared" ref="G25:G35" si="1">IF(OR(E25=0,E25=1),0,B25*LN(E25)+C25*LN(1-E25))</f>
        <v>-87.251341994999194</v>
      </c>
      <c r="H25" s="8">
        <f t="shared" ref="H25:H68" si="2">IF(OR(F25=0,F25=1),0,B25*LN(F25)+C25*LN(1-F25))</f>
        <v>-98.641082359053158</v>
      </c>
      <c r="I25" s="44"/>
      <c r="R25" s="39">
        <f t="shared" si="0"/>
        <v>7.4999999999999997E-2</v>
      </c>
      <c r="S25" s="42">
        <v>135.9583066803998</v>
      </c>
      <c r="T25" s="38"/>
      <c r="U25" s="38"/>
      <c r="V25" s="38"/>
      <c r="W25" s="38"/>
      <c r="X25" s="38"/>
      <c r="Y25" s="38"/>
      <c r="Z25" s="38"/>
      <c r="AA25" s="38"/>
      <c r="AB25" s="38"/>
    </row>
    <row r="26" spans="1:31" x14ac:dyDescent="0.25">
      <c r="A26" s="37">
        <f t="shared" ref="A26:A68" si="3">+A25+1</f>
        <v>1.5</v>
      </c>
      <c r="B26" s="37">
        <v>30</v>
      </c>
      <c r="C26" s="37">
        <v>116</v>
      </c>
      <c r="D26" s="37">
        <f t="shared" ref="D26:D68" si="4">SUM(B26:C26)</f>
        <v>146</v>
      </c>
      <c r="E26" s="37">
        <f t="shared" ref="E26:E68" si="5">B26/D26</f>
        <v>0.20547945205479451</v>
      </c>
      <c r="F26" s="34">
        <f t="shared" ref="F26:F68" si="6">1-EXP((-A26)*0.12)</f>
        <v>0.164729788588728</v>
      </c>
      <c r="G26" s="8">
        <f t="shared" si="1"/>
        <v>-74.154183151214141</v>
      </c>
      <c r="H26" s="8">
        <f t="shared" si="2"/>
        <v>-74.983463772137497</v>
      </c>
      <c r="I26" s="44"/>
      <c r="R26" s="39">
        <f t="shared" si="0"/>
        <v>0.08</v>
      </c>
      <c r="S26" s="42">
        <v>135.9583066803998</v>
      </c>
      <c r="T26" s="38"/>
      <c r="U26" s="38"/>
      <c r="V26" s="38"/>
      <c r="W26" s="38"/>
      <c r="X26" s="38"/>
      <c r="Y26" s="38"/>
      <c r="Z26" s="38"/>
      <c r="AA26" s="38"/>
      <c r="AB26" s="38"/>
    </row>
    <row r="27" spans="1:31" x14ac:dyDescent="0.25">
      <c r="A27" s="37">
        <f t="shared" si="3"/>
        <v>2.5</v>
      </c>
      <c r="B27" s="37">
        <v>34</v>
      </c>
      <c r="C27" s="37">
        <v>134</v>
      </c>
      <c r="D27" s="37">
        <f t="shared" si="4"/>
        <v>168</v>
      </c>
      <c r="E27" s="37">
        <f t="shared" si="5"/>
        <v>0.20238095238095238</v>
      </c>
      <c r="F27" s="34">
        <f t="shared" si="6"/>
        <v>0.25918177931828212</v>
      </c>
      <c r="G27" s="8">
        <f t="shared" si="1"/>
        <v>-84.619157509375881</v>
      </c>
      <c r="H27" s="8">
        <f t="shared" si="2"/>
        <v>-86.107670835704781</v>
      </c>
      <c r="I27" s="44"/>
      <c r="R27" s="39">
        <f t="shared" si="0"/>
        <v>8.5000000000000006E-2</v>
      </c>
      <c r="S27" s="42">
        <v>135.9583066803998</v>
      </c>
      <c r="T27" s="38"/>
      <c r="U27" s="38"/>
      <c r="V27" s="38"/>
      <c r="W27" s="38"/>
      <c r="X27" s="38"/>
      <c r="Y27" s="38"/>
      <c r="Z27" s="38"/>
      <c r="AA27" s="38"/>
      <c r="AB27" s="38"/>
    </row>
    <row r="28" spans="1:31" x14ac:dyDescent="0.25">
      <c r="A28" s="37">
        <f t="shared" si="3"/>
        <v>3.5</v>
      </c>
      <c r="B28" s="37">
        <v>57</v>
      </c>
      <c r="C28" s="37">
        <v>132</v>
      </c>
      <c r="D28" s="37">
        <f t="shared" si="4"/>
        <v>189</v>
      </c>
      <c r="E28" s="37">
        <f t="shared" si="5"/>
        <v>0.30158730158730157</v>
      </c>
      <c r="F28" s="34">
        <f t="shared" si="6"/>
        <v>0.34295318018494325</v>
      </c>
      <c r="G28" s="8">
        <f t="shared" si="1"/>
        <v>-115.7064097983021</v>
      </c>
      <c r="H28" s="8">
        <f t="shared" si="2"/>
        <v>-116.43919649695421</v>
      </c>
      <c r="I28" s="44"/>
      <c r="R28" s="39">
        <f t="shared" si="0"/>
        <v>9.0000000000000011E-2</v>
      </c>
      <c r="S28" s="42">
        <v>135.9583066803998</v>
      </c>
      <c r="T28" s="38"/>
      <c r="U28" s="38"/>
      <c r="V28" s="38"/>
      <c r="W28" s="38"/>
      <c r="X28" s="38"/>
      <c r="Y28" s="38"/>
      <c r="Z28" s="38"/>
      <c r="AA28" s="38"/>
      <c r="AB28" s="38"/>
    </row>
    <row r="29" spans="1:31" x14ac:dyDescent="0.25">
      <c r="A29" s="37">
        <f t="shared" si="3"/>
        <v>4.5</v>
      </c>
      <c r="B29" s="37">
        <v>95</v>
      </c>
      <c r="C29" s="37">
        <v>124</v>
      </c>
      <c r="D29" s="37">
        <f t="shared" si="4"/>
        <v>219</v>
      </c>
      <c r="E29" s="37">
        <f t="shared" si="5"/>
        <v>0.43378995433789952</v>
      </c>
      <c r="F29" s="34">
        <f t="shared" si="6"/>
        <v>0.41725174762601036</v>
      </c>
      <c r="G29" s="8">
        <f t="shared" si="1"/>
        <v>-149.87348999273775</v>
      </c>
      <c r="H29" s="8">
        <f t="shared" si="2"/>
        <v>-149.99622516098356</v>
      </c>
      <c r="I29" s="44"/>
      <c r="R29" s="39">
        <f t="shared" si="0"/>
        <v>9.5000000000000015E-2</v>
      </c>
      <c r="S29" s="42">
        <v>135.9583066803998</v>
      </c>
      <c r="T29" s="38"/>
      <c r="U29" s="38"/>
      <c r="V29" s="38"/>
      <c r="W29" s="38"/>
      <c r="X29" s="38"/>
      <c r="Y29" s="38"/>
      <c r="Z29" s="38"/>
      <c r="AA29" s="38"/>
      <c r="AB29" s="38"/>
    </row>
    <row r="30" spans="1:31" x14ac:dyDescent="0.25">
      <c r="A30" s="37">
        <f t="shared" si="3"/>
        <v>5.5</v>
      </c>
      <c r="B30" s="37">
        <v>104</v>
      </c>
      <c r="C30" s="37">
        <v>91</v>
      </c>
      <c r="D30" s="37">
        <f t="shared" si="4"/>
        <v>195</v>
      </c>
      <c r="E30" s="37">
        <f t="shared" si="5"/>
        <v>0.53333333333333333</v>
      </c>
      <c r="F30" s="34">
        <f t="shared" si="6"/>
        <v>0.48314866550830071</v>
      </c>
      <c r="G30" s="8">
        <f t="shared" si="1"/>
        <v>-134.73004531619452</v>
      </c>
      <c r="H30" s="8">
        <f t="shared" si="2"/>
        <v>-135.71281116698478</v>
      </c>
      <c r="I30" s="44"/>
      <c r="R30" s="39">
        <f t="shared" si="0"/>
        <v>0.10000000000000002</v>
      </c>
      <c r="S30" s="42">
        <v>135.9583066803998</v>
      </c>
      <c r="T30" s="38"/>
      <c r="U30" s="38"/>
      <c r="V30" s="38"/>
      <c r="W30" s="38"/>
      <c r="X30" s="38"/>
      <c r="Y30" s="38"/>
      <c r="Z30" s="38"/>
      <c r="AA30" s="38"/>
      <c r="AB30" s="38"/>
    </row>
    <row r="31" spans="1:31" x14ac:dyDescent="0.25">
      <c r="A31" s="37">
        <f t="shared" si="3"/>
        <v>6.5</v>
      </c>
      <c r="B31" s="37">
        <v>90</v>
      </c>
      <c r="C31" s="37">
        <v>74</v>
      </c>
      <c r="D31" s="37">
        <f t="shared" si="4"/>
        <v>164</v>
      </c>
      <c r="E31" s="37">
        <f t="shared" si="5"/>
        <v>0.54878048780487809</v>
      </c>
      <c r="F31" s="34">
        <f t="shared" si="6"/>
        <v>0.54159398869477648</v>
      </c>
      <c r="G31" s="8">
        <f t="shared" si="1"/>
        <v>-112.89440693633613</v>
      </c>
      <c r="H31" s="8">
        <f t="shared" si="2"/>
        <v>-112.91147909453795</v>
      </c>
      <c r="I31" s="44"/>
      <c r="R31" s="39">
        <f t="shared" si="0"/>
        <v>0.10500000000000002</v>
      </c>
      <c r="S31" s="42">
        <v>135.9583066803998</v>
      </c>
      <c r="T31" s="38"/>
      <c r="U31" s="38"/>
      <c r="V31" s="38"/>
      <c r="W31" s="38"/>
      <c r="X31" s="38"/>
      <c r="Y31" s="38"/>
      <c r="Z31" s="38"/>
      <c r="AA31" s="38"/>
      <c r="AB31" s="38"/>
    </row>
    <row r="32" spans="1:31" x14ac:dyDescent="0.25">
      <c r="A32" s="37">
        <f t="shared" si="3"/>
        <v>7.5</v>
      </c>
      <c r="B32" s="37">
        <v>96</v>
      </c>
      <c r="C32" s="37">
        <v>49</v>
      </c>
      <c r="D32" s="37">
        <f t="shared" si="4"/>
        <v>145</v>
      </c>
      <c r="E32" s="37">
        <f t="shared" si="5"/>
        <v>0.66206896551724137</v>
      </c>
      <c r="F32" s="34">
        <f t="shared" si="6"/>
        <v>0.59343034025940078</v>
      </c>
      <c r="G32" s="8">
        <f t="shared" si="1"/>
        <v>-92.749771662650303</v>
      </c>
      <c r="H32" s="8">
        <f t="shared" si="2"/>
        <v>-94.196202519237346</v>
      </c>
      <c r="I32" s="44"/>
      <c r="R32" s="39">
        <f t="shared" si="0"/>
        <v>0.11000000000000003</v>
      </c>
      <c r="S32" s="42">
        <v>135.9583066803998</v>
      </c>
      <c r="T32" s="38"/>
      <c r="U32" s="38"/>
      <c r="V32" s="38"/>
      <c r="W32" s="38"/>
      <c r="X32" s="38"/>
      <c r="Y32" s="38"/>
      <c r="Z32" s="38"/>
      <c r="AA32" s="38"/>
      <c r="AB32" s="38"/>
    </row>
    <row r="33" spans="1:28" x14ac:dyDescent="0.25">
      <c r="A33" s="37">
        <f t="shared" si="3"/>
        <v>8.5</v>
      </c>
      <c r="B33" s="37">
        <v>134</v>
      </c>
      <c r="C33" s="37">
        <v>46</v>
      </c>
      <c r="D33" s="37">
        <f t="shared" si="4"/>
        <v>180</v>
      </c>
      <c r="E33" s="37">
        <f t="shared" si="5"/>
        <v>0.74444444444444446</v>
      </c>
      <c r="F33" s="34">
        <f t="shared" si="6"/>
        <v>0.63940505982692164</v>
      </c>
      <c r="G33" s="8">
        <f t="shared" si="1"/>
        <v>-102.30419572831737</v>
      </c>
      <c r="H33" s="8">
        <f t="shared" si="2"/>
        <v>-106.8470952845703</v>
      </c>
      <c r="I33" s="44"/>
      <c r="R33" s="39">
        <f t="shared" si="0"/>
        <v>0.11500000000000003</v>
      </c>
      <c r="S33" s="42">
        <v>135.9583066803998</v>
      </c>
      <c r="T33" s="38"/>
      <c r="U33" s="38"/>
      <c r="V33" s="38"/>
      <c r="W33" s="38"/>
      <c r="X33" s="38"/>
      <c r="Y33" s="38"/>
      <c r="Z33" s="38"/>
      <c r="AA33" s="38"/>
      <c r="AB33" s="38"/>
    </row>
    <row r="34" spans="1:28" x14ac:dyDescent="0.25">
      <c r="A34" s="37">
        <f t="shared" si="3"/>
        <v>9.5</v>
      </c>
      <c r="B34" s="37">
        <v>110</v>
      </c>
      <c r="C34" s="37">
        <v>50</v>
      </c>
      <c r="D34" s="37">
        <f t="shared" si="4"/>
        <v>160</v>
      </c>
      <c r="E34" s="37">
        <f t="shared" si="5"/>
        <v>0.6875</v>
      </c>
      <c r="F34" s="34">
        <f t="shared" si="6"/>
        <v>0.68018097818369605</v>
      </c>
      <c r="G34" s="8">
        <f t="shared" si="1"/>
        <v>-99.373819928839225</v>
      </c>
      <c r="H34" s="8">
        <f t="shared" si="2"/>
        <v>-99.393600901776438</v>
      </c>
      <c r="I34" s="44"/>
      <c r="R34" s="39">
        <f t="shared" si="0"/>
        <v>0.12000000000000004</v>
      </c>
      <c r="S34" s="42">
        <v>135.9583066803998</v>
      </c>
      <c r="T34" s="38"/>
      <c r="U34" s="38"/>
      <c r="V34" s="38"/>
      <c r="W34" s="38"/>
      <c r="X34" s="38"/>
      <c r="Y34" s="38"/>
      <c r="Z34" s="38"/>
      <c r="AA34" s="38"/>
      <c r="AB34" s="38"/>
    </row>
    <row r="35" spans="1:28" x14ac:dyDescent="0.25">
      <c r="A35" s="37">
        <f t="shared" si="3"/>
        <v>10.5</v>
      </c>
      <c r="B35" s="37">
        <v>111</v>
      </c>
      <c r="C35" s="37">
        <v>37</v>
      </c>
      <c r="D35" s="37">
        <f t="shared" si="4"/>
        <v>148</v>
      </c>
      <c r="E35" s="37">
        <f t="shared" si="5"/>
        <v>0.75</v>
      </c>
      <c r="F35" s="34">
        <f t="shared" si="6"/>
        <v>0.71634597350022955</v>
      </c>
      <c r="G35" s="8">
        <f t="shared" si="1"/>
        <v>-83.225601403583624</v>
      </c>
      <c r="H35" s="8">
        <f t="shared" si="2"/>
        <v>-83.648714832049478</v>
      </c>
      <c r="I35" s="44"/>
      <c r="R35" s="39">
        <f t="shared" si="0"/>
        <v>0.12500000000000003</v>
      </c>
      <c r="S35" s="42">
        <v>135.9583066803998</v>
      </c>
      <c r="T35" s="38"/>
      <c r="U35" s="38"/>
      <c r="V35" s="38"/>
      <c r="W35" s="38"/>
      <c r="X35" s="38"/>
      <c r="Y35" s="38"/>
      <c r="Z35" s="38"/>
      <c r="AA35" s="38"/>
      <c r="AB35" s="38"/>
    </row>
    <row r="36" spans="1:28" x14ac:dyDescent="0.25">
      <c r="A36" s="37">
        <f t="shared" si="3"/>
        <v>11.5</v>
      </c>
      <c r="B36" s="37">
        <v>147</v>
      </c>
      <c r="C36" s="37">
        <v>31</v>
      </c>
      <c r="D36" s="37">
        <f t="shared" si="4"/>
        <v>178</v>
      </c>
      <c r="E36" s="37">
        <f t="shared" si="5"/>
        <v>0.8258426966292135</v>
      </c>
      <c r="F36" s="34">
        <f t="shared" si="6"/>
        <v>0.74842144694024348</v>
      </c>
      <c r="G36" s="8">
        <f t="shared" ref="G36:G68" si="7">IF(OR(E36=0,E36=1),0,B36*LN(E36)+C36*LN(1-E36))</f>
        <v>-82.310278356477383</v>
      </c>
      <c r="H36" s="8">
        <f t="shared" si="2"/>
        <v>-85.378987106802498</v>
      </c>
      <c r="I36" s="44"/>
      <c r="R36" s="39">
        <f t="shared" si="0"/>
        <v>0.13000000000000003</v>
      </c>
      <c r="S36" s="42">
        <v>135.9583066803998</v>
      </c>
      <c r="T36" s="38"/>
      <c r="U36" s="38"/>
      <c r="V36" s="38"/>
      <c r="W36" s="38"/>
      <c r="X36" s="38"/>
      <c r="Y36" s="38"/>
      <c r="Z36" s="38"/>
      <c r="AA36" s="38"/>
      <c r="AB36" s="38"/>
    </row>
    <row r="37" spans="1:28" x14ac:dyDescent="0.25">
      <c r="A37" s="37">
        <f t="shared" si="3"/>
        <v>12.5</v>
      </c>
      <c r="B37" s="37">
        <v>138</v>
      </c>
      <c r="C37" s="37">
        <v>39</v>
      </c>
      <c r="D37" s="37">
        <f t="shared" si="4"/>
        <v>177</v>
      </c>
      <c r="E37" s="37">
        <f t="shared" si="5"/>
        <v>0.77966101694915257</v>
      </c>
      <c r="F37" s="34">
        <f t="shared" si="6"/>
        <v>0.77686983985157021</v>
      </c>
      <c r="G37" s="8">
        <f t="shared" si="7"/>
        <v>-93.338589914817305</v>
      </c>
      <c r="H37" s="8">
        <f t="shared" si="2"/>
        <v>-93.342579331712656</v>
      </c>
      <c r="I37" s="44"/>
      <c r="R37" s="39">
        <f t="shared" si="0"/>
        <v>0.13500000000000004</v>
      </c>
      <c r="S37" s="42">
        <v>135.9583066803998</v>
      </c>
      <c r="T37" s="38"/>
      <c r="U37" s="38"/>
      <c r="V37" s="38"/>
      <c r="W37" s="38"/>
      <c r="X37" s="38"/>
      <c r="Y37" s="38"/>
      <c r="Z37" s="38"/>
      <c r="AA37" s="38"/>
      <c r="AB37" s="38"/>
    </row>
    <row r="38" spans="1:28" x14ac:dyDescent="0.25">
      <c r="A38" s="37">
        <f t="shared" si="3"/>
        <v>13.5</v>
      </c>
      <c r="B38" s="37">
        <v>141</v>
      </c>
      <c r="C38" s="37">
        <v>24</v>
      </c>
      <c r="D38" s="37">
        <f t="shared" si="4"/>
        <v>165</v>
      </c>
      <c r="E38" s="37">
        <f t="shared" si="5"/>
        <v>0.8545454545454545</v>
      </c>
      <c r="F38" s="34">
        <f t="shared" si="6"/>
        <v>0.80210130091638532</v>
      </c>
      <c r="G38" s="8">
        <f t="shared" si="7"/>
        <v>-68.432566721923379</v>
      </c>
      <c r="H38" s="8">
        <f t="shared" si="2"/>
        <v>-69.97337198987924</v>
      </c>
      <c r="I38" s="44"/>
      <c r="R38" s="39">
        <f t="shared" si="0"/>
        <v>0.14000000000000004</v>
      </c>
      <c r="S38" s="42">
        <v>135.9583066803998</v>
      </c>
      <c r="T38" s="38"/>
      <c r="U38" s="38"/>
      <c r="V38" s="38"/>
      <c r="W38" s="38"/>
      <c r="X38" s="38"/>
      <c r="Y38" s="38"/>
      <c r="Z38" s="38"/>
      <c r="AA38" s="38"/>
      <c r="AB38" s="38"/>
    </row>
    <row r="39" spans="1:28" x14ac:dyDescent="0.25">
      <c r="A39" s="37">
        <f t="shared" si="3"/>
        <v>14.5</v>
      </c>
      <c r="B39" s="37">
        <v>53</v>
      </c>
      <c r="C39" s="37">
        <v>14</v>
      </c>
      <c r="D39" s="37">
        <f t="shared" si="4"/>
        <v>67</v>
      </c>
      <c r="E39" s="37">
        <f t="shared" si="5"/>
        <v>0.79104477611940294</v>
      </c>
      <c r="F39" s="34">
        <f t="shared" si="6"/>
        <v>0.82447959938300319</v>
      </c>
      <c r="G39" s="8">
        <f t="shared" si="7"/>
        <v>-34.342131466318648</v>
      </c>
      <c r="H39" s="8">
        <f t="shared" si="2"/>
        <v>-34.589152656163236</v>
      </c>
      <c r="I39" s="44"/>
      <c r="R39" s="39">
        <f t="shared" si="0"/>
        <v>0.14500000000000005</v>
      </c>
      <c r="S39" s="42">
        <v>135.9583066803998</v>
      </c>
      <c r="T39" s="38"/>
      <c r="U39" s="38"/>
      <c r="V39" s="38"/>
      <c r="W39" s="38"/>
      <c r="X39" s="38"/>
      <c r="Y39" s="38"/>
      <c r="Z39" s="38"/>
      <c r="AA39" s="38"/>
      <c r="AB39" s="38"/>
    </row>
    <row r="40" spans="1:28" x14ac:dyDescent="0.25">
      <c r="A40" s="37">
        <f t="shared" si="3"/>
        <v>15.5</v>
      </c>
      <c r="B40" s="37">
        <v>49</v>
      </c>
      <c r="C40" s="37">
        <v>9</v>
      </c>
      <c r="D40" s="37">
        <f t="shared" si="4"/>
        <v>58</v>
      </c>
      <c r="E40" s="37">
        <f t="shared" si="5"/>
        <v>0.84482758620689657</v>
      </c>
      <c r="F40" s="34">
        <f t="shared" si="6"/>
        <v>0.84432736963200261</v>
      </c>
      <c r="G40" s="8">
        <f t="shared" si="7"/>
        <v>-25.031478808245645</v>
      </c>
      <c r="H40" s="8">
        <f t="shared" si="2"/>
        <v>-25.031534063158073</v>
      </c>
      <c r="I40" s="44"/>
      <c r="R40" s="39">
        <f t="shared" si="0"/>
        <v>0.15000000000000005</v>
      </c>
      <c r="S40" s="42">
        <v>135.9583066803998</v>
      </c>
      <c r="T40" s="38"/>
      <c r="U40" s="38"/>
      <c r="V40" s="38"/>
      <c r="W40" s="38"/>
      <c r="X40" s="38"/>
      <c r="Y40" s="38"/>
      <c r="Z40" s="38"/>
      <c r="AA40" s="38"/>
      <c r="AB40" s="38"/>
    </row>
    <row r="41" spans="1:28" x14ac:dyDescent="0.25">
      <c r="A41" s="37">
        <f t="shared" si="3"/>
        <v>16.5</v>
      </c>
      <c r="B41" s="37">
        <v>73</v>
      </c>
      <c r="C41" s="37">
        <v>8</v>
      </c>
      <c r="D41" s="37">
        <f t="shared" si="4"/>
        <v>81</v>
      </c>
      <c r="E41" s="37">
        <f t="shared" si="5"/>
        <v>0.90123456790123457</v>
      </c>
      <c r="F41" s="34">
        <f t="shared" si="6"/>
        <v>0.86193076268910718</v>
      </c>
      <c r="G41" s="8">
        <f t="shared" si="7"/>
        <v>-26.1113099911963</v>
      </c>
      <c r="H41" s="8">
        <f t="shared" si="2"/>
        <v>-26.68636432730673</v>
      </c>
      <c r="I41" s="44"/>
      <c r="R41" s="39">
        <f t="shared" si="0"/>
        <v>0.15500000000000005</v>
      </c>
      <c r="S41" s="42">
        <v>135.9583066803998</v>
      </c>
      <c r="T41" s="38"/>
      <c r="U41" s="38"/>
      <c r="V41" s="38"/>
      <c r="W41" s="38"/>
      <c r="X41" s="38"/>
      <c r="Y41" s="38"/>
      <c r="Z41" s="38"/>
      <c r="AA41" s="38"/>
      <c r="AB41" s="38"/>
    </row>
    <row r="42" spans="1:28" x14ac:dyDescent="0.25">
      <c r="A42" s="37">
        <f t="shared" si="3"/>
        <v>17.5</v>
      </c>
      <c r="B42" s="37">
        <v>69</v>
      </c>
      <c r="C42" s="37">
        <v>10</v>
      </c>
      <c r="D42" s="37">
        <f t="shared" si="4"/>
        <v>79</v>
      </c>
      <c r="E42" s="37">
        <f t="shared" si="5"/>
        <v>0.87341772151898733</v>
      </c>
      <c r="F42" s="34">
        <f t="shared" si="6"/>
        <v>0.87754357174701814</v>
      </c>
      <c r="G42" s="8">
        <f t="shared" si="7"/>
        <v>-30.007180597743343</v>
      </c>
      <c r="H42" s="8">
        <f t="shared" si="2"/>
        <v>-30.013378261898666</v>
      </c>
      <c r="I42" s="44"/>
      <c r="R42" s="39">
        <f t="shared" si="0"/>
        <v>0.16000000000000006</v>
      </c>
      <c r="S42" s="42">
        <v>135.9583066803998</v>
      </c>
      <c r="T42" s="38"/>
      <c r="U42" s="38"/>
      <c r="V42" s="38"/>
      <c r="W42" s="38"/>
      <c r="X42" s="38"/>
      <c r="Y42" s="38"/>
      <c r="Z42" s="38"/>
      <c r="AA42" s="38"/>
      <c r="AB42" s="38"/>
    </row>
    <row r="43" spans="1:28" x14ac:dyDescent="0.25">
      <c r="A43" s="37">
        <f t="shared" si="3"/>
        <v>18.5</v>
      </c>
      <c r="B43" s="37">
        <v>97</v>
      </c>
      <c r="C43" s="37">
        <v>14</v>
      </c>
      <c r="D43" s="37">
        <f t="shared" si="4"/>
        <v>111</v>
      </c>
      <c r="E43" s="37">
        <f t="shared" si="5"/>
        <v>0.87387387387387383</v>
      </c>
      <c r="F43" s="34">
        <f t="shared" si="6"/>
        <v>0.891390891175042</v>
      </c>
      <c r="G43" s="8">
        <f t="shared" si="7"/>
        <v>-42.064084816227336</v>
      </c>
      <c r="H43" s="8">
        <f t="shared" si="2"/>
        <v>-42.232306997005935</v>
      </c>
      <c r="I43" s="44"/>
      <c r="R43" s="39">
        <f t="shared" si="0"/>
        <v>0.16500000000000006</v>
      </c>
      <c r="S43" s="42">
        <v>135.9583066803998</v>
      </c>
      <c r="T43" s="38"/>
      <c r="U43" s="38"/>
      <c r="V43" s="38"/>
      <c r="W43" s="38"/>
      <c r="X43" s="38"/>
      <c r="Y43" s="38"/>
      <c r="Z43" s="38"/>
      <c r="AA43" s="38"/>
      <c r="AB43" s="38"/>
    </row>
    <row r="44" spans="1:28" x14ac:dyDescent="0.25">
      <c r="A44" s="37">
        <f t="shared" si="3"/>
        <v>19.5</v>
      </c>
      <c r="B44" s="37">
        <v>65</v>
      </c>
      <c r="C44" s="37">
        <v>11</v>
      </c>
      <c r="D44" s="37">
        <f t="shared" si="4"/>
        <v>76</v>
      </c>
      <c r="E44" s="37">
        <f t="shared" si="5"/>
        <v>0.85526315789473684</v>
      </c>
      <c r="F44" s="34">
        <f t="shared" si="6"/>
        <v>0.90367236176950694</v>
      </c>
      <c r="G44" s="8">
        <f t="shared" si="7"/>
        <v>-31.423713317762672</v>
      </c>
      <c r="H44" s="8">
        <f t="shared" si="2"/>
        <v>-32.323747037080949</v>
      </c>
      <c r="I44" s="44"/>
      <c r="R44" s="39">
        <f t="shared" si="0"/>
        <v>0.17000000000000007</v>
      </c>
      <c r="S44" s="42">
        <v>135.9583066803998</v>
      </c>
      <c r="T44" s="38"/>
      <c r="U44" s="38"/>
      <c r="V44" s="38"/>
      <c r="W44" s="38"/>
      <c r="X44" s="38"/>
      <c r="Y44" s="38"/>
      <c r="Z44" s="38"/>
      <c r="AA44" s="38"/>
      <c r="AB44" s="38"/>
    </row>
    <row r="45" spans="1:28" x14ac:dyDescent="0.25">
      <c r="A45" s="37">
        <f t="shared" si="3"/>
        <v>20.5</v>
      </c>
      <c r="B45" s="37">
        <v>74</v>
      </c>
      <c r="C45" s="37">
        <v>8</v>
      </c>
      <c r="D45" s="37">
        <f t="shared" si="4"/>
        <v>82</v>
      </c>
      <c r="E45" s="37">
        <f t="shared" si="5"/>
        <v>0.90243902439024393</v>
      </c>
      <c r="F45" s="34">
        <f t="shared" si="6"/>
        <v>0.91456504903267877</v>
      </c>
      <c r="G45" s="8">
        <f t="shared" si="7"/>
        <v>-26.214629045121509</v>
      </c>
      <c r="H45" s="8">
        <f t="shared" si="2"/>
        <v>-26.288694539976312</v>
      </c>
      <c r="I45" s="44"/>
      <c r="R45" s="39">
        <f t="shared" si="0"/>
        <v>0.17500000000000007</v>
      </c>
      <c r="S45" s="42">
        <v>135.9583066803998</v>
      </c>
      <c r="T45" s="38"/>
      <c r="U45" s="38"/>
      <c r="V45" s="38"/>
      <c r="W45" s="38"/>
      <c r="X45" s="38"/>
      <c r="Y45" s="38"/>
      <c r="Z45" s="38"/>
      <c r="AA45" s="38"/>
      <c r="AB45" s="38"/>
    </row>
    <row r="46" spans="1:28" x14ac:dyDescent="0.25">
      <c r="A46" s="37">
        <f t="shared" si="3"/>
        <v>21.5</v>
      </c>
      <c r="B46" s="37">
        <v>84</v>
      </c>
      <c r="C46" s="37">
        <v>17</v>
      </c>
      <c r="D46" s="37">
        <f t="shared" si="4"/>
        <v>101</v>
      </c>
      <c r="E46" s="37">
        <f t="shared" si="5"/>
        <v>0.83168316831683164</v>
      </c>
      <c r="F46" s="34">
        <f t="shared" si="6"/>
        <v>0.92422599597715449</v>
      </c>
      <c r="G46" s="8">
        <f t="shared" si="7"/>
        <v>-45.773934249173188</v>
      </c>
      <c r="H46" s="8">
        <f t="shared" si="2"/>
        <v>-50.479086839860223</v>
      </c>
      <c r="I46" s="44"/>
      <c r="R46" s="39">
        <f t="shared" si="0"/>
        <v>0.18000000000000008</v>
      </c>
      <c r="S46" s="42">
        <v>135.9583066803998</v>
      </c>
      <c r="T46" s="38"/>
      <c r="U46" s="38"/>
      <c r="V46" s="38"/>
      <c r="W46" s="38"/>
      <c r="X46" s="38"/>
      <c r="Y46" s="38"/>
      <c r="Z46" s="38"/>
      <c r="AA46" s="38"/>
      <c r="AB46" s="38"/>
    </row>
    <row r="47" spans="1:28" x14ac:dyDescent="0.25">
      <c r="A47" s="37">
        <f t="shared" si="3"/>
        <v>22.5</v>
      </c>
      <c r="B47" s="37">
        <v>82</v>
      </c>
      <c r="C47" s="37">
        <v>6</v>
      </c>
      <c r="D47" s="37">
        <f t="shared" si="4"/>
        <v>88</v>
      </c>
      <c r="E47" s="37">
        <f t="shared" si="5"/>
        <v>0.93181818181818177</v>
      </c>
      <c r="F47" s="34">
        <f t="shared" si="6"/>
        <v>0.93279448726025027</v>
      </c>
      <c r="G47" s="8">
        <f t="shared" si="7"/>
        <v>-21.904104583045083</v>
      </c>
      <c r="H47" s="8">
        <f t="shared" si="2"/>
        <v>-21.904770609560554</v>
      </c>
      <c r="I47" s="44"/>
      <c r="R47" s="39">
        <f t="shared" si="0"/>
        <v>0.18500000000000008</v>
      </c>
      <c r="S47" s="42">
        <v>135.9583066803998</v>
      </c>
      <c r="T47" s="38"/>
      <c r="U47" s="38"/>
      <c r="V47" s="38"/>
      <c r="W47" s="38"/>
      <c r="X47" s="38"/>
      <c r="Y47" s="38"/>
      <c r="Z47" s="38"/>
      <c r="AA47" s="38"/>
      <c r="AB47" s="38"/>
    </row>
    <row r="48" spans="1:28" x14ac:dyDescent="0.25">
      <c r="A48" s="37">
        <f t="shared" si="3"/>
        <v>23.5</v>
      </c>
      <c r="B48" s="37">
        <v>79</v>
      </c>
      <c r="C48" s="37">
        <v>6</v>
      </c>
      <c r="D48" s="37">
        <f t="shared" si="4"/>
        <v>85</v>
      </c>
      <c r="E48" s="37">
        <f t="shared" si="5"/>
        <v>0.92941176470588238</v>
      </c>
      <c r="F48" s="34">
        <f t="shared" si="6"/>
        <v>0.94039405729106063</v>
      </c>
      <c r="G48" s="8">
        <f t="shared" si="7"/>
        <v>-21.688419641413869</v>
      </c>
      <c r="H48" s="8">
        <f t="shared" si="2"/>
        <v>-21.775046252553679</v>
      </c>
      <c r="I48" s="44"/>
      <c r="R48" s="39">
        <f t="shared" si="0"/>
        <v>0.19000000000000009</v>
      </c>
      <c r="S48" s="42">
        <v>135.9583066803998</v>
      </c>
      <c r="T48" s="38"/>
      <c r="U48" s="38"/>
      <c r="V48" s="38"/>
      <c r="W48" s="38"/>
      <c r="X48" s="38"/>
      <c r="Y48" s="38"/>
      <c r="Z48" s="38"/>
      <c r="AA48" s="38"/>
      <c r="AB48" s="38"/>
    </row>
    <row r="49" spans="1:28" x14ac:dyDescent="0.25">
      <c r="A49" s="37">
        <f t="shared" si="3"/>
        <v>24.5</v>
      </c>
      <c r="B49" s="37">
        <v>90</v>
      </c>
      <c r="C49" s="37">
        <v>4</v>
      </c>
      <c r="D49" s="37">
        <f t="shared" si="4"/>
        <v>94</v>
      </c>
      <c r="E49" s="37">
        <f t="shared" si="5"/>
        <v>0.95744680851063835</v>
      </c>
      <c r="F49" s="34">
        <f t="shared" si="6"/>
        <v>0.94713427126164962</v>
      </c>
      <c r="G49" s="8">
        <f t="shared" si="7"/>
        <v>-16.541661759176947</v>
      </c>
      <c r="H49" s="8">
        <f t="shared" si="2"/>
        <v>-16.648296893842105</v>
      </c>
      <c r="I49" s="44"/>
      <c r="R49" s="39">
        <f t="shared" si="0"/>
        <v>0.19500000000000009</v>
      </c>
      <c r="S49" s="42">
        <v>135.9583066803998</v>
      </c>
      <c r="T49" s="38"/>
      <c r="U49" s="38"/>
      <c r="V49" s="38"/>
      <c r="W49" s="38"/>
      <c r="X49" s="38"/>
      <c r="Y49" s="38"/>
      <c r="Z49" s="38"/>
      <c r="AA49" s="38"/>
      <c r="AB49" s="38"/>
    </row>
    <row r="50" spans="1:28" x14ac:dyDescent="0.25">
      <c r="A50" s="37">
        <f t="shared" si="3"/>
        <v>25.5</v>
      </c>
      <c r="B50" s="37">
        <v>84</v>
      </c>
      <c r="C50" s="37">
        <v>7</v>
      </c>
      <c r="D50" s="37">
        <f t="shared" si="4"/>
        <v>91</v>
      </c>
      <c r="E50" s="37">
        <f t="shared" si="5"/>
        <v>0.92307692307692313</v>
      </c>
      <c r="F50" s="34">
        <f t="shared" si="6"/>
        <v>0.95311230478001152</v>
      </c>
      <c r="G50" s="8">
        <f t="shared" si="7"/>
        <v>-24.678232946807817</v>
      </c>
      <c r="H50" s="8">
        <f t="shared" si="2"/>
        <v>-25.453893263411494</v>
      </c>
      <c r="I50" s="44"/>
      <c r="R50" s="39">
        <f t="shared" si="0"/>
        <v>0.20000000000000009</v>
      </c>
      <c r="S50" s="42">
        <v>135.9583066803998</v>
      </c>
      <c r="T50" s="38"/>
      <c r="U50" s="38"/>
      <c r="V50" s="38"/>
      <c r="W50" s="38"/>
      <c r="X50" s="38"/>
      <c r="Y50" s="38"/>
      <c r="Z50" s="38"/>
      <c r="AA50" s="38"/>
      <c r="AB50" s="38"/>
    </row>
    <row r="51" spans="1:28" x14ac:dyDescent="0.25">
      <c r="A51" s="37">
        <f t="shared" si="3"/>
        <v>26.5</v>
      </c>
      <c r="B51" s="37">
        <v>81</v>
      </c>
      <c r="C51" s="37">
        <v>8</v>
      </c>
      <c r="D51" s="37">
        <f t="shared" si="4"/>
        <v>89</v>
      </c>
      <c r="E51" s="37">
        <f t="shared" si="5"/>
        <v>0.9101123595505618</v>
      </c>
      <c r="F51" s="34">
        <f t="shared" si="6"/>
        <v>0.95841434487882682</v>
      </c>
      <c r="G51" s="8">
        <f t="shared" si="7"/>
        <v>-26.902723044254216</v>
      </c>
      <c r="H51" s="8">
        <f t="shared" si="2"/>
        <v>-28.880481820602828</v>
      </c>
      <c r="I51" s="44"/>
      <c r="R51" s="39">
        <f t="shared" si="0"/>
        <v>0.2050000000000001</v>
      </c>
      <c r="S51" s="42">
        <v>135.9583066803998</v>
      </c>
      <c r="T51" s="38"/>
      <c r="U51" s="38"/>
      <c r="V51" s="38"/>
      <c r="W51" s="38"/>
      <c r="X51" s="38"/>
      <c r="Y51" s="38"/>
      <c r="Z51" s="38"/>
      <c r="AA51" s="38"/>
      <c r="AB51" s="38"/>
    </row>
    <row r="52" spans="1:28" x14ac:dyDescent="0.25">
      <c r="A52" s="37">
        <f t="shared" si="3"/>
        <v>27.5</v>
      </c>
      <c r="B52" s="37">
        <v>72</v>
      </c>
      <c r="C52" s="37">
        <v>4</v>
      </c>
      <c r="D52" s="37">
        <f t="shared" si="4"/>
        <v>76</v>
      </c>
      <c r="E52" s="37">
        <f t="shared" si="5"/>
        <v>0.94736842105263153</v>
      </c>
      <c r="F52" s="34">
        <f t="shared" si="6"/>
        <v>0.96311683259876002</v>
      </c>
      <c r="G52" s="8">
        <f t="shared" si="7"/>
        <v>-15.670595848125616</v>
      </c>
      <c r="H52" s="8">
        <f t="shared" si="2"/>
        <v>-15.905799819515712</v>
      </c>
      <c r="I52" s="44"/>
      <c r="R52" s="39">
        <f t="shared" si="0"/>
        <v>0.2100000000000001</v>
      </c>
      <c r="S52" s="42">
        <v>135.9583066803998</v>
      </c>
      <c r="T52" s="38"/>
      <c r="U52" s="38"/>
      <c r="V52" s="38"/>
      <c r="W52" s="38"/>
      <c r="X52" s="38"/>
      <c r="Y52" s="38"/>
      <c r="Z52" s="38"/>
      <c r="AA52" s="38"/>
      <c r="AB52" s="38"/>
    </row>
    <row r="53" spans="1:28" x14ac:dyDescent="0.25">
      <c r="A53" s="37">
        <f t="shared" si="3"/>
        <v>28.5</v>
      </c>
      <c r="B53" s="37">
        <v>71</v>
      </c>
      <c r="C53" s="37">
        <v>8</v>
      </c>
      <c r="D53" s="37">
        <f t="shared" si="4"/>
        <v>79</v>
      </c>
      <c r="E53" s="37">
        <f t="shared" si="5"/>
        <v>0.89873417721518989</v>
      </c>
      <c r="F53" s="34">
        <f t="shared" si="6"/>
        <v>0.96728756506098024</v>
      </c>
      <c r="G53" s="8">
        <f t="shared" si="7"/>
        <v>-25.900576741522617</v>
      </c>
      <c r="H53" s="8">
        <f t="shared" si="2"/>
        <v>-29.721420892052897</v>
      </c>
      <c r="I53" s="44"/>
      <c r="R53" s="39">
        <f t="shared" si="0"/>
        <v>0.21500000000000011</v>
      </c>
      <c r="S53" s="42">
        <v>135.9583066803998</v>
      </c>
      <c r="T53" s="38"/>
      <c r="U53" s="38"/>
      <c r="V53" s="38"/>
      <c r="W53" s="38"/>
      <c r="X53" s="38"/>
      <c r="Y53" s="38"/>
      <c r="Z53" s="38"/>
      <c r="AA53" s="38"/>
      <c r="AB53" s="38"/>
    </row>
    <row r="54" spans="1:28" x14ac:dyDescent="0.25">
      <c r="A54" s="37">
        <f t="shared" si="3"/>
        <v>29.5</v>
      </c>
      <c r="B54" s="37">
        <v>51</v>
      </c>
      <c r="C54" s="37">
        <v>5</v>
      </c>
      <c r="D54" s="37">
        <f t="shared" si="4"/>
        <v>56</v>
      </c>
      <c r="E54" s="37">
        <f t="shared" si="5"/>
        <v>0.9107142857142857</v>
      </c>
      <c r="F54" s="34">
        <f t="shared" si="6"/>
        <v>0.97098667291780294</v>
      </c>
      <c r="G54" s="8">
        <f t="shared" si="7"/>
        <v>-16.84939785005724</v>
      </c>
      <c r="H54" s="8">
        <f t="shared" si="2"/>
        <v>-19.201569330665446</v>
      </c>
      <c r="I54" s="44"/>
      <c r="R54" s="39">
        <f t="shared" si="0"/>
        <v>0.22000000000000011</v>
      </c>
      <c r="S54" s="42">
        <v>135.9583066803998</v>
      </c>
      <c r="T54" s="38"/>
      <c r="U54" s="38"/>
      <c r="V54" s="38"/>
      <c r="W54" s="38"/>
      <c r="X54" s="38"/>
      <c r="Y54" s="38"/>
      <c r="Z54" s="38"/>
      <c r="AA54" s="38"/>
      <c r="AB54" s="38"/>
    </row>
    <row r="55" spans="1:28" x14ac:dyDescent="0.25">
      <c r="A55" s="37">
        <f t="shared" si="3"/>
        <v>30.5</v>
      </c>
      <c r="B55" s="37">
        <v>45</v>
      </c>
      <c r="C55" s="37">
        <v>7</v>
      </c>
      <c r="D55" s="37">
        <f t="shared" si="4"/>
        <v>52</v>
      </c>
      <c r="E55" s="37">
        <f t="shared" si="5"/>
        <v>0.86538461538461542</v>
      </c>
      <c r="F55" s="34">
        <f t="shared" si="6"/>
        <v>0.9742674872736401</v>
      </c>
      <c r="G55" s="8">
        <f t="shared" si="7"/>
        <v>-20.543490283182642</v>
      </c>
      <c r="H55" s="8">
        <f t="shared" si="2"/>
        <v>-26.793122345333252</v>
      </c>
      <c r="I55" s="44"/>
      <c r="R55" s="39">
        <f t="shared" si="0"/>
        <v>0.22500000000000012</v>
      </c>
      <c r="S55" s="42">
        <v>135.9583066803998</v>
      </c>
      <c r="T55" s="38"/>
      <c r="U55" s="38"/>
      <c r="V55" s="38"/>
      <c r="W55" s="38"/>
      <c r="X55" s="38"/>
      <c r="Y55" s="38"/>
      <c r="Z55" s="38"/>
      <c r="AA55" s="38"/>
      <c r="AB55" s="38"/>
    </row>
    <row r="56" spans="1:28" x14ac:dyDescent="0.25">
      <c r="A56" s="37">
        <f t="shared" si="3"/>
        <v>31.5</v>
      </c>
      <c r="B56" s="37">
        <v>45</v>
      </c>
      <c r="C56" s="37">
        <v>3</v>
      </c>
      <c r="D56" s="37">
        <f t="shared" si="4"/>
        <v>48</v>
      </c>
      <c r="E56" s="37">
        <f t="shared" si="5"/>
        <v>0.9375</v>
      </c>
      <c r="F56" s="34">
        <f t="shared" si="6"/>
        <v>0.97717730857490703</v>
      </c>
      <c r="G56" s="8">
        <f t="shared" si="7"/>
        <v>-11.221999617910047</v>
      </c>
      <c r="H56" s="8">
        <f t="shared" si="2"/>
        <v>-12.37892223279948</v>
      </c>
      <c r="I56" s="44"/>
      <c r="R56" s="39">
        <f t="shared" si="0"/>
        <v>0.23000000000000012</v>
      </c>
      <c r="S56" s="42">
        <v>135.9583066803998</v>
      </c>
      <c r="T56" s="38"/>
      <c r="U56" s="38"/>
      <c r="V56" s="38"/>
      <c r="W56" s="38"/>
      <c r="X56" s="38"/>
      <c r="Y56" s="38"/>
      <c r="Z56" s="38"/>
      <c r="AA56" s="38"/>
      <c r="AB56" s="38"/>
    </row>
    <row r="57" spans="1:28" x14ac:dyDescent="0.25">
      <c r="A57" s="37">
        <f t="shared" si="3"/>
        <v>32.5</v>
      </c>
      <c r="B57" s="37">
        <v>35</v>
      </c>
      <c r="C57" s="37">
        <v>2</v>
      </c>
      <c r="D57" s="37">
        <f t="shared" si="4"/>
        <v>37</v>
      </c>
      <c r="E57" s="37">
        <f t="shared" si="5"/>
        <v>0.94594594594594594</v>
      </c>
      <c r="F57" s="34">
        <f t="shared" si="6"/>
        <v>0.97975808855419566</v>
      </c>
      <c r="G57" s="8">
        <f t="shared" si="7"/>
        <v>-7.7804862545869344</v>
      </c>
      <c r="H57" s="8">
        <f t="shared" si="2"/>
        <v>-8.5157355171291567</v>
      </c>
      <c r="I57" s="44"/>
      <c r="R57" s="39">
        <f t="shared" si="0"/>
        <v>0.23500000000000013</v>
      </c>
      <c r="S57" s="42">
        <v>135.9583066803998</v>
      </c>
      <c r="T57" s="38"/>
      <c r="U57" s="38"/>
      <c r="V57" s="38"/>
      <c r="W57" s="38"/>
      <c r="X57" s="38"/>
      <c r="Y57" s="38"/>
      <c r="Z57" s="38"/>
      <c r="AA57" s="38"/>
      <c r="AB57" s="38"/>
    </row>
    <row r="58" spans="1:28" x14ac:dyDescent="0.25">
      <c r="A58" s="37">
        <f t="shared" si="3"/>
        <v>33.5</v>
      </c>
      <c r="B58" s="37">
        <v>39</v>
      </c>
      <c r="C58" s="37">
        <v>2</v>
      </c>
      <c r="D58" s="37">
        <f t="shared" si="4"/>
        <v>41</v>
      </c>
      <c r="E58" s="37">
        <f t="shared" si="5"/>
        <v>0.95121951219512191</v>
      </c>
      <c r="F58" s="34">
        <f t="shared" si="6"/>
        <v>0.98204703506049718</v>
      </c>
      <c r="G58" s="8">
        <f t="shared" si="7"/>
        <v>-7.9912561747005189</v>
      </c>
      <c r="H58" s="8">
        <f t="shared" si="2"/>
        <v>-8.7465269080125267</v>
      </c>
      <c r="I58" s="44"/>
      <c r="R58" s="39">
        <f t="shared" si="0"/>
        <v>0.24000000000000013</v>
      </c>
      <c r="S58" s="42">
        <v>135.9583066803998</v>
      </c>
      <c r="T58" s="38"/>
      <c r="U58" s="38"/>
      <c r="V58" s="38"/>
      <c r="W58" s="38"/>
      <c r="X58" s="38"/>
      <c r="Y58" s="38"/>
      <c r="Z58" s="38"/>
      <c r="AA58" s="38"/>
      <c r="AB58" s="38"/>
    </row>
    <row r="59" spans="1:28" x14ac:dyDescent="0.25">
      <c r="A59" s="37">
        <f t="shared" si="3"/>
        <v>34.5</v>
      </c>
      <c r="B59" s="37">
        <v>36</v>
      </c>
      <c r="C59" s="37">
        <v>4</v>
      </c>
      <c r="D59" s="37">
        <f t="shared" si="4"/>
        <v>40</v>
      </c>
      <c r="E59" s="37">
        <f t="shared" si="5"/>
        <v>0.9</v>
      </c>
      <c r="F59" s="34">
        <f t="shared" si="6"/>
        <v>0.98407714849548833</v>
      </c>
      <c r="G59" s="8">
        <f t="shared" si="7"/>
        <v>-13.00331893565793</v>
      </c>
      <c r="H59" s="8">
        <f t="shared" si="2"/>
        <v>-17.13783535418392</v>
      </c>
      <c r="I59" s="44"/>
      <c r="R59" s="39">
        <f t="shared" si="0"/>
        <v>0.24500000000000013</v>
      </c>
      <c r="S59" s="42">
        <v>135.9583066803998</v>
      </c>
      <c r="T59" s="38"/>
      <c r="U59" s="38"/>
      <c r="V59" s="38"/>
      <c r="W59" s="38"/>
      <c r="X59" s="38"/>
      <c r="Y59" s="38"/>
      <c r="Z59" s="38"/>
      <c r="AA59" s="38"/>
      <c r="AB59" s="38"/>
    </row>
    <row r="60" spans="1:28" x14ac:dyDescent="0.25">
      <c r="A60" s="37">
        <f t="shared" si="3"/>
        <v>35.5</v>
      </c>
      <c r="B60" s="37">
        <v>37</v>
      </c>
      <c r="C60" s="37">
        <v>1</v>
      </c>
      <c r="D60" s="37">
        <f t="shared" si="4"/>
        <v>38</v>
      </c>
      <c r="E60" s="37">
        <f t="shared" si="5"/>
        <v>0.97368421052631582</v>
      </c>
      <c r="F60" s="34">
        <f t="shared" si="6"/>
        <v>0.98587769758983601</v>
      </c>
      <c r="G60" s="8">
        <f t="shared" si="7"/>
        <v>-4.6243113017663546</v>
      </c>
      <c r="H60" s="8">
        <f t="shared" si="2"/>
        <v>-4.7862499280548922</v>
      </c>
      <c r="I60" s="44"/>
      <c r="R60" s="39">
        <f t="shared" si="0"/>
        <v>0.25000000000000011</v>
      </c>
      <c r="S60" s="42">
        <v>135.9583066803998</v>
      </c>
      <c r="T60" s="38"/>
      <c r="U60" s="38"/>
      <c r="V60" s="38"/>
      <c r="W60" s="38"/>
      <c r="X60" s="38"/>
      <c r="Y60" s="38"/>
      <c r="Z60" s="38"/>
      <c r="AA60" s="38"/>
      <c r="AB60" s="38"/>
    </row>
    <row r="61" spans="1:28" x14ac:dyDescent="0.25">
      <c r="A61" s="37">
        <f t="shared" si="3"/>
        <v>36.5</v>
      </c>
      <c r="B61" s="37">
        <v>37</v>
      </c>
      <c r="C61" s="37">
        <v>2</v>
      </c>
      <c r="D61" s="37">
        <f t="shared" si="4"/>
        <v>39</v>
      </c>
      <c r="E61" s="37">
        <f t="shared" si="5"/>
        <v>0.94871794871794868</v>
      </c>
      <c r="F61" s="34">
        <f t="shared" si="6"/>
        <v>0.9874746413789256</v>
      </c>
      <c r="G61" s="8">
        <f t="shared" si="7"/>
        <v>-7.8886470701000162</v>
      </c>
      <c r="H61" s="8">
        <f t="shared" si="2"/>
        <v>-9.226365099656002</v>
      </c>
      <c r="I61" s="44"/>
      <c r="R61" s="39">
        <f t="shared" si="0"/>
        <v>0.25500000000000012</v>
      </c>
      <c r="S61" s="42">
        <v>135.9583066803998</v>
      </c>
      <c r="T61" s="38"/>
      <c r="U61" s="38"/>
      <c r="V61" s="38"/>
      <c r="W61" s="38"/>
      <c r="X61" s="38"/>
      <c r="Y61" s="38"/>
      <c r="Z61" s="38"/>
      <c r="AA61" s="38"/>
      <c r="AB61" s="38"/>
    </row>
    <row r="62" spans="1:28" x14ac:dyDescent="0.25">
      <c r="A62" s="37">
        <f t="shared" si="3"/>
        <v>37.5</v>
      </c>
      <c r="B62" s="37">
        <v>37</v>
      </c>
      <c r="C62" s="37">
        <v>4</v>
      </c>
      <c r="D62" s="37">
        <f t="shared" si="4"/>
        <v>41</v>
      </c>
      <c r="E62" s="37">
        <f t="shared" si="5"/>
        <v>0.90243902439024393</v>
      </c>
      <c r="F62" s="34">
        <f t="shared" si="6"/>
        <v>0.98889100346175773</v>
      </c>
      <c r="G62" s="8">
        <f t="shared" si="7"/>
        <v>-13.107314522560754</v>
      </c>
      <c r="H62" s="8">
        <f t="shared" si="2"/>
        <v>-18.413333003927001</v>
      </c>
      <c r="I62" s="44"/>
      <c r="R62" s="39">
        <f t="shared" si="0"/>
        <v>0.26000000000000012</v>
      </c>
      <c r="S62" s="42">
        <v>135.9583066803998</v>
      </c>
      <c r="T62" s="38"/>
      <c r="U62" s="38"/>
      <c r="V62" s="38"/>
      <c r="W62" s="38"/>
      <c r="X62" s="38"/>
      <c r="Y62" s="38"/>
      <c r="Z62" s="38"/>
      <c r="AA62" s="38"/>
      <c r="AB62" s="38"/>
    </row>
    <row r="63" spans="1:28" x14ac:dyDescent="0.25">
      <c r="A63" s="37">
        <f t="shared" si="3"/>
        <v>38.5</v>
      </c>
      <c r="B63" s="37">
        <v>28</v>
      </c>
      <c r="C63" s="37">
        <v>2</v>
      </c>
      <c r="D63" s="37">
        <f t="shared" si="4"/>
        <v>30</v>
      </c>
      <c r="E63" s="37">
        <f t="shared" si="5"/>
        <v>0.93333333333333335</v>
      </c>
      <c r="F63" s="34">
        <f t="shared" si="6"/>
        <v>0.99014720393881273</v>
      </c>
      <c r="G63" s="8">
        <f t="shared" si="7"/>
        <v>-7.3479008038390612</v>
      </c>
      <c r="H63" s="8">
        <f t="shared" si="2"/>
        <v>-9.5172463696689142</v>
      </c>
      <c r="I63" s="44"/>
      <c r="R63" s="39">
        <f t="shared" si="0"/>
        <v>0.26500000000000012</v>
      </c>
      <c r="S63" s="42">
        <v>135.9583066803998</v>
      </c>
      <c r="T63" s="38"/>
      <c r="U63" s="38"/>
      <c r="V63" s="38"/>
      <c r="W63" s="38"/>
      <c r="X63" s="38"/>
      <c r="Y63" s="38"/>
      <c r="Z63" s="38"/>
      <c r="AA63" s="38"/>
      <c r="AB63" s="38"/>
    </row>
    <row r="64" spans="1:28" x14ac:dyDescent="0.25">
      <c r="A64" s="37">
        <f t="shared" si="3"/>
        <v>39.5</v>
      </c>
      <c r="B64" s="37">
        <v>26</v>
      </c>
      <c r="C64" s="37">
        <v>1</v>
      </c>
      <c r="D64" s="37">
        <f t="shared" si="4"/>
        <v>27</v>
      </c>
      <c r="E64" s="37">
        <f t="shared" si="5"/>
        <v>0.96296296296296291</v>
      </c>
      <c r="F64" s="34">
        <f t="shared" si="6"/>
        <v>0.99126135381452674</v>
      </c>
      <c r="G64" s="8">
        <f t="shared" si="7"/>
        <v>-4.2770853935583517</v>
      </c>
      <c r="H64" s="8">
        <f t="shared" si="2"/>
        <v>-4.9682033535943937</v>
      </c>
      <c r="I64" s="44"/>
      <c r="R64" s="39">
        <f t="shared" si="0"/>
        <v>0.27000000000000013</v>
      </c>
      <c r="S64" s="42">
        <v>135.9583066803998</v>
      </c>
      <c r="T64" s="38"/>
      <c r="U64" s="38"/>
      <c r="V64" s="38"/>
      <c r="W64" s="38"/>
      <c r="X64" s="38"/>
      <c r="Y64" s="38"/>
      <c r="Z64" s="38"/>
      <c r="AA64" s="38"/>
      <c r="AB64" s="38"/>
    </row>
    <row r="65" spans="1:28" x14ac:dyDescent="0.25">
      <c r="A65" s="37">
        <f t="shared" si="3"/>
        <v>40.5</v>
      </c>
      <c r="B65" s="37">
        <v>25</v>
      </c>
      <c r="C65" s="37">
        <v>0</v>
      </c>
      <c r="D65" s="37">
        <f t="shared" si="4"/>
        <v>25</v>
      </c>
      <c r="E65" s="37">
        <f t="shared" si="5"/>
        <v>1</v>
      </c>
      <c r="F65" s="34">
        <f t="shared" si="6"/>
        <v>0.99224951610886325</v>
      </c>
      <c r="G65" s="8">
        <f t="shared" si="7"/>
        <v>0</v>
      </c>
      <c r="H65" s="8">
        <f t="shared" si="2"/>
        <v>-0.19451687474162452</v>
      </c>
      <c r="I65" s="44"/>
      <c r="R65" s="39">
        <f t="shared" si="0"/>
        <v>0.27500000000000013</v>
      </c>
      <c r="S65" s="42">
        <v>135.9583066803998</v>
      </c>
      <c r="T65" s="38"/>
      <c r="U65" s="38"/>
      <c r="V65" s="38"/>
      <c r="W65" s="38"/>
      <c r="X65" s="38"/>
      <c r="Y65" s="38"/>
      <c r="Z65" s="38"/>
      <c r="AA65" s="38"/>
      <c r="AB65" s="38"/>
    </row>
    <row r="66" spans="1:28" x14ac:dyDescent="0.25">
      <c r="A66" s="37">
        <f t="shared" si="3"/>
        <v>41.5</v>
      </c>
      <c r="B66" s="37">
        <v>21</v>
      </c>
      <c r="C66" s="37">
        <v>1</v>
      </c>
      <c r="D66" s="37">
        <f t="shared" si="4"/>
        <v>22</v>
      </c>
      <c r="E66" s="37">
        <f t="shared" si="5"/>
        <v>0.95454545454545459</v>
      </c>
      <c r="F66" s="34">
        <f t="shared" si="6"/>
        <v>0.99312593744250377</v>
      </c>
      <c r="G66" s="8">
        <f t="shared" si="7"/>
        <v>-4.0679627816910662</v>
      </c>
      <c r="H66" s="8">
        <f t="shared" si="2"/>
        <v>-5.1248537529508811</v>
      </c>
      <c r="I66" s="44"/>
      <c r="R66" s="39">
        <f t="shared" si="0"/>
        <v>0.28000000000000014</v>
      </c>
      <c r="S66" s="42">
        <v>135.9583066803998</v>
      </c>
      <c r="T66" s="38"/>
      <c r="U66" s="38"/>
      <c r="V66" s="38"/>
      <c r="W66" s="38"/>
      <c r="X66" s="38"/>
      <c r="Y66" s="38"/>
      <c r="Z66" s="38"/>
      <c r="AA66" s="38"/>
      <c r="AB66" s="38"/>
    </row>
    <row r="67" spans="1:28" x14ac:dyDescent="0.25">
      <c r="A67" s="37">
        <f t="shared" si="3"/>
        <v>42.5</v>
      </c>
      <c r="B67" s="37">
        <v>18</v>
      </c>
      <c r="C67" s="37">
        <v>1</v>
      </c>
      <c r="D67" s="37">
        <f t="shared" si="4"/>
        <v>19</v>
      </c>
      <c r="E67" s="37">
        <f t="shared" si="5"/>
        <v>0.94736842105263153</v>
      </c>
      <c r="F67" s="34">
        <f t="shared" si="6"/>
        <v>0.99390325343448438</v>
      </c>
      <c r="G67" s="8">
        <f t="shared" si="7"/>
        <v>-3.9176489620314041</v>
      </c>
      <c r="H67" s="8">
        <f t="shared" si="2"/>
        <v>-5.2100773370033435</v>
      </c>
      <c r="I67" s="44"/>
      <c r="R67" s="39">
        <f t="shared" si="0"/>
        <v>0.28500000000000014</v>
      </c>
      <c r="S67" s="42">
        <v>135.9583066803998</v>
      </c>
      <c r="T67" s="38"/>
      <c r="U67" s="38"/>
      <c r="V67" s="38"/>
      <c r="W67" s="38"/>
      <c r="X67" s="38"/>
      <c r="Y67" s="38"/>
      <c r="Z67" s="38"/>
      <c r="AA67" s="38"/>
      <c r="AB67" s="38"/>
    </row>
    <row r="68" spans="1:28" x14ac:dyDescent="0.25">
      <c r="A68" s="37">
        <f t="shared" si="3"/>
        <v>43.5</v>
      </c>
      <c r="B68" s="37">
        <v>18</v>
      </c>
      <c r="C68" s="37">
        <v>0</v>
      </c>
      <c r="D68" s="37">
        <f t="shared" si="4"/>
        <v>18</v>
      </c>
      <c r="E68" s="37">
        <f t="shared" si="5"/>
        <v>1</v>
      </c>
      <c r="F68" s="34">
        <f t="shared" si="6"/>
        <v>0.99459267087355907</v>
      </c>
      <c r="G68" s="8">
        <f t="shared" si="7"/>
        <v>0</v>
      </c>
      <c r="H68" s="8">
        <f t="shared" si="2"/>
        <v>-9.7596029650515712E-2</v>
      </c>
      <c r="I68" s="44"/>
      <c r="R68" s="39">
        <f t="shared" si="0"/>
        <v>0.29000000000000015</v>
      </c>
      <c r="S68" s="42">
        <v>135.9583066803998</v>
      </c>
      <c r="T68" s="38"/>
      <c r="U68" s="38"/>
      <c r="V68" s="38"/>
      <c r="W68" s="38"/>
      <c r="X68" s="38"/>
      <c r="Y68" s="38"/>
      <c r="Z68" s="38"/>
      <c r="AA68" s="38"/>
      <c r="AB68" s="38"/>
    </row>
    <row r="69" spans="1:28" x14ac:dyDescent="0.25">
      <c r="R69" s="39">
        <f t="shared" si="0"/>
        <v>0.29500000000000015</v>
      </c>
      <c r="S69" s="42">
        <v>135.9583066803998</v>
      </c>
      <c r="T69" s="38"/>
      <c r="U69" s="38"/>
      <c r="V69" s="38"/>
      <c r="W69" s="38"/>
      <c r="X69" s="38"/>
      <c r="Y69" s="38"/>
      <c r="Z69" s="38"/>
      <c r="AA69" s="38"/>
      <c r="AB69" s="38"/>
    </row>
    <row r="70" spans="1:28" x14ac:dyDescent="0.25">
      <c r="R70" s="39">
        <f t="shared" si="0"/>
        <v>0.30000000000000016</v>
      </c>
      <c r="S70" s="42">
        <v>135.9583066803998</v>
      </c>
      <c r="T70" s="38"/>
      <c r="U70" s="38"/>
      <c r="V70" s="38"/>
      <c r="W70" s="38"/>
      <c r="X70" s="38"/>
      <c r="Y70" s="38"/>
      <c r="Z70" s="38"/>
      <c r="AA70" s="38"/>
      <c r="AB70" s="38"/>
    </row>
    <row r="71" spans="1:28" x14ac:dyDescent="0.25">
      <c r="R71" s="39">
        <f t="shared" si="0"/>
        <v>0.30500000000000016</v>
      </c>
      <c r="S71" s="42">
        <v>135.9583066803998</v>
      </c>
      <c r="T71" s="38"/>
      <c r="U71" s="38"/>
      <c r="V71" s="38"/>
      <c r="W71" s="38"/>
      <c r="X71" s="38"/>
      <c r="Y71" s="38"/>
      <c r="Z71" s="38"/>
      <c r="AA71" s="38"/>
      <c r="AB71" s="38"/>
    </row>
    <row r="72" spans="1:28" x14ac:dyDescent="0.25">
      <c r="R72" s="39">
        <f t="shared" si="0"/>
        <v>0.31000000000000016</v>
      </c>
      <c r="S72" s="42">
        <v>135.9583066803998</v>
      </c>
      <c r="T72" s="38"/>
      <c r="U72" s="38"/>
      <c r="V72" s="38"/>
      <c r="W72" s="38"/>
      <c r="X72" s="38"/>
      <c r="Y72" s="38"/>
      <c r="Z72" s="38"/>
      <c r="AA72" s="38"/>
      <c r="AB72" s="38"/>
    </row>
    <row r="73" spans="1:28" x14ac:dyDescent="0.25">
      <c r="R73" s="39">
        <f t="shared" si="0"/>
        <v>0.31500000000000017</v>
      </c>
      <c r="S73" s="42">
        <v>135.9583066803998</v>
      </c>
      <c r="T73" s="38"/>
      <c r="U73" s="38"/>
      <c r="V73" s="38"/>
      <c r="W73" s="38"/>
      <c r="X73" s="38"/>
      <c r="Y73" s="38"/>
      <c r="Z73" s="38"/>
      <c r="AA73" s="38"/>
      <c r="AB73" s="38"/>
    </row>
    <row r="74" spans="1:28" x14ac:dyDescent="0.25">
      <c r="R74" s="39">
        <f t="shared" si="0"/>
        <v>0.32000000000000017</v>
      </c>
      <c r="S74" s="42">
        <v>135.9583066803998</v>
      </c>
      <c r="T74" s="38"/>
      <c r="U74" s="38"/>
      <c r="V74" s="38"/>
      <c r="W74" s="38"/>
      <c r="X74" s="38"/>
      <c r="Y74" s="38"/>
      <c r="Z74" s="38"/>
      <c r="AA74" s="38"/>
      <c r="AB74" s="38"/>
    </row>
    <row r="75" spans="1:28" x14ac:dyDescent="0.25">
      <c r="R75" s="39">
        <f t="shared" si="0"/>
        <v>0.32500000000000018</v>
      </c>
      <c r="S75" s="42">
        <v>135.9583066803998</v>
      </c>
      <c r="T75" s="38"/>
      <c r="U75" s="38"/>
      <c r="V75" s="38"/>
      <c r="W75" s="38"/>
      <c r="X75" s="38"/>
      <c r="Y75" s="38"/>
      <c r="Z75" s="38"/>
      <c r="AA75" s="38"/>
      <c r="AB75" s="38"/>
    </row>
    <row r="76" spans="1:28" x14ac:dyDescent="0.25">
      <c r="R76" s="39">
        <f t="shared" si="0"/>
        <v>0.33000000000000018</v>
      </c>
      <c r="S76" s="42">
        <v>135.9583066803998</v>
      </c>
      <c r="T76" s="38"/>
      <c r="U76" s="38"/>
      <c r="V76" s="38"/>
      <c r="W76" s="38"/>
      <c r="X76" s="38"/>
      <c r="Y76" s="38"/>
      <c r="Z76" s="38"/>
      <c r="AA76" s="38"/>
      <c r="AB76" s="38"/>
    </row>
    <row r="77" spans="1:28" x14ac:dyDescent="0.25">
      <c r="R77" s="39">
        <f t="shared" ref="R77:R110" si="8">R76+0.005</f>
        <v>0.33500000000000019</v>
      </c>
      <c r="S77" s="42">
        <v>135.9583066803998</v>
      </c>
      <c r="T77" s="38"/>
      <c r="U77" s="38"/>
      <c r="V77" s="38"/>
      <c r="W77" s="38"/>
      <c r="X77" s="38"/>
      <c r="Y77" s="38"/>
      <c r="Z77" s="38"/>
      <c r="AA77" s="38"/>
      <c r="AB77" s="38"/>
    </row>
    <row r="78" spans="1:28" x14ac:dyDescent="0.25">
      <c r="R78" s="39">
        <f t="shared" si="8"/>
        <v>0.34000000000000019</v>
      </c>
      <c r="S78" s="42">
        <v>135.9583066803998</v>
      </c>
      <c r="T78" s="38"/>
      <c r="U78" s="38"/>
      <c r="V78" s="38"/>
      <c r="W78" s="38"/>
      <c r="X78" s="38"/>
      <c r="Y78" s="38"/>
      <c r="Z78" s="38"/>
      <c r="AA78" s="38"/>
      <c r="AB78" s="38"/>
    </row>
    <row r="79" spans="1:28" x14ac:dyDescent="0.25">
      <c r="R79" s="39">
        <f t="shared" si="8"/>
        <v>0.3450000000000002</v>
      </c>
      <c r="S79" s="42">
        <v>135.9583066803998</v>
      </c>
      <c r="T79" s="38"/>
      <c r="U79" s="38"/>
      <c r="V79" s="38"/>
      <c r="W79" s="38"/>
      <c r="X79" s="38"/>
      <c r="Y79" s="38"/>
      <c r="Z79" s="38"/>
      <c r="AA79" s="38"/>
      <c r="AB79" s="38"/>
    </row>
    <row r="80" spans="1:28" x14ac:dyDescent="0.25">
      <c r="R80" s="39">
        <f t="shared" si="8"/>
        <v>0.3500000000000002</v>
      </c>
      <c r="S80" s="42">
        <v>135.9583066803998</v>
      </c>
      <c r="T80" s="38"/>
      <c r="U80" s="38"/>
      <c r="V80" s="38"/>
      <c r="W80" s="38"/>
      <c r="X80" s="38"/>
      <c r="Y80" s="38"/>
      <c r="Z80" s="38"/>
      <c r="AA80" s="38"/>
      <c r="AB80" s="38"/>
    </row>
    <row r="81" spans="18:28" x14ac:dyDescent="0.25">
      <c r="R81" s="39">
        <f t="shared" si="8"/>
        <v>0.3550000000000002</v>
      </c>
      <c r="S81" s="42">
        <v>135.9583066803998</v>
      </c>
      <c r="T81" s="38"/>
      <c r="U81" s="38"/>
      <c r="V81" s="38"/>
      <c r="W81" s="38"/>
      <c r="X81" s="38"/>
      <c r="Y81" s="38"/>
      <c r="Z81" s="38"/>
      <c r="AA81" s="38"/>
      <c r="AB81" s="38"/>
    </row>
    <row r="82" spans="18:28" x14ac:dyDescent="0.25">
      <c r="R82" s="39">
        <f t="shared" si="8"/>
        <v>0.36000000000000021</v>
      </c>
      <c r="S82" s="42">
        <v>135.9583066803998</v>
      </c>
      <c r="T82" s="38"/>
      <c r="U82" s="38"/>
      <c r="V82" s="38"/>
      <c r="W82" s="38"/>
      <c r="X82" s="38"/>
      <c r="Y82" s="38"/>
      <c r="Z82" s="38"/>
      <c r="AA82" s="38"/>
      <c r="AB82" s="38"/>
    </row>
    <row r="83" spans="18:28" x14ac:dyDescent="0.25">
      <c r="R83" s="39">
        <f t="shared" si="8"/>
        <v>0.36500000000000021</v>
      </c>
      <c r="S83" s="42">
        <v>135.9583066803998</v>
      </c>
      <c r="T83" s="38"/>
      <c r="U83" s="38"/>
      <c r="V83" s="38"/>
      <c r="W83" s="38"/>
      <c r="X83" s="38"/>
      <c r="Y83" s="38"/>
      <c r="Z83" s="38"/>
      <c r="AA83" s="38"/>
      <c r="AB83" s="38"/>
    </row>
    <row r="84" spans="18:28" x14ac:dyDescent="0.25">
      <c r="R84" s="39">
        <f t="shared" si="8"/>
        <v>0.37000000000000022</v>
      </c>
      <c r="S84" s="42">
        <v>135.9583066803998</v>
      </c>
      <c r="T84" s="38"/>
      <c r="U84" s="38"/>
      <c r="V84" s="38"/>
      <c r="W84" s="38"/>
      <c r="X84" s="38"/>
      <c r="Y84" s="38"/>
      <c r="Z84" s="38"/>
      <c r="AA84" s="38"/>
      <c r="AB84" s="38"/>
    </row>
    <row r="85" spans="18:28" x14ac:dyDescent="0.25">
      <c r="R85" s="39">
        <f t="shared" si="8"/>
        <v>0.37500000000000022</v>
      </c>
      <c r="S85" s="42">
        <v>135.9583066803998</v>
      </c>
      <c r="T85" s="38"/>
      <c r="U85" s="38"/>
      <c r="V85" s="38"/>
      <c r="W85" s="38"/>
      <c r="X85" s="38"/>
      <c r="Y85" s="38"/>
      <c r="Z85" s="38"/>
      <c r="AA85" s="38"/>
      <c r="AB85" s="38"/>
    </row>
    <row r="86" spans="18:28" x14ac:dyDescent="0.25">
      <c r="R86" s="39">
        <f t="shared" si="8"/>
        <v>0.38000000000000023</v>
      </c>
      <c r="S86" s="42">
        <v>135.9583066803998</v>
      </c>
      <c r="T86" s="38"/>
      <c r="U86" s="38"/>
      <c r="V86" s="38"/>
      <c r="W86" s="38"/>
      <c r="X86" s="38"/>
      <c r="Y86" s="38"/>
      <c r="Z86" s="38"/>
      <c r="AA86" s="38"/>
      <c r="AB86" s="38"/>
    </row>
    <row r="87" spans="18:28" x14ac:dyDescent="0.25">
      <c r="R87" s="39">
        <f t="shared" si="8"/>
        <v>0.38500000000000023</v>
      </c>
      <c r="S87" s="42">
        <v>135.9583066803998</v>
      </c>
      <c r="T87" s="38"/>
      <c r="U87" s="38"/>
      <c r="V87" s="38"/>
      <c r="W87" s="38"/>
      <c r="X87" s="38"/>
      <c r="Y87" s="38"/>
      <c r="Z87" s="38"/>
      <c r="AA87" s="38"/>
      <c r="AB87" s="38"/>
    </row>
    <row r="88" spans="18:28" x14ac:dyDescent="0.25">
      <c r="R88" s="39">
        <f t="shared" si="8"/>
        <v>0.39000000000000024</v>
      </c>
      <c r="S88" s="42">
        <v>135.9583066803998</v>
      </c>
      <c r="T88" s="38"/>
      <c r="U88" s="38"/>
      <c r="V88" s="38"/>
      <c r="W88" s="38"/>
      <c r="X88" s="38"/>
      <c r="Y88" s="38"/>
      <c r="Z88" s="38"/>
      <c r="AA88" s="38"/>
      <c r="AB88" s="38"/>
    </row>
    <row r="89" spans="18:28" x14ac:dyDescent="0.25">
      <c r="R89" s="39">
        <f t="shared" si="8"/>
        <v>0.39500000000000024</v>
      </c>
      <c r="S89" s="42">
        <v>135.9583066803998</v>
      </c>
      <c r="T89" s="38"/>
      <c r="U89" s="38"/>
      <c r="V89" s="38"/>
      <c r="W89" s="38"/>
      <c r="X89" s="38"/>
      <c r="Y89" s="38"/>
      <c r="Z89" s="38"/>
      <c r="AA89" s="38"/>
      <c r="AB89" s="38"/>
    </row>
    <row r="90" spans="18:28" x14ac:dyDescent="0.25">
      <c r="R90" s="39">
        <f t="shared" si="8"/>
        <v>0.40000000000000024</v>
      </c>
      <c r="S90" s="42">
        <v>135.9583066803998</v>
      </c>
      <c r="T90" s="38"/>
      <c r="U90" s="38"/>
      <c r="V90" s="38"/>
      <c r="W90" s="38"/>
      <c r="X90" s="38"/>
      <c r="Y90" s="38"/>
      <c r="Z90" s="38"/>
      <c r="AA90" s="38"/>
      <c r="AB90" s="38"/>
    </row>
    <row r="91" spans="18:28" x14ac:dyDescent="0.25">
      <c r="R91" s="39">
        <f t="shared" si="8"/>
        <v>0.40500000000000025</v>
      </c>
      <c r="S91" s="42">
        <v>135.9583066803998</v>
      </c>
      <c r="T91" s="38"/>
      <c r="U91" s="38"/>
      <c r="V91" s="38"/>
      <c r="W91" s="38"/>
      <c r="X91" s="38"/>
      <c r="Y91" s="38"/>
      <c r="Z91" s="38"/>
      <c r="AA91" s="38"/>
      <c r="AB91" s="38"/>
    </row>
    <row r="92" spans="18:28" x14ac:dyDescent="0.25">
      <c r="R92" s="39">
        <f t="shared" si="8"/>
        <v>0.41000000000000025</v>
      </c>
      <c r="S92" s="42">
        <v>135.9583066803998</v>
      </c>
      <c r="T92" s="38"/>
      <c r="U92" s="38"/>
      <c r="V92" s="38"/>
      <c r="W92" s="38"/>
      <c r="X92" s="38"/>
      <c r="Y92" s="38"/>
      <c r="Z92" s="38"/>
      <c r="AA92" s="38"/>
      <c r="AB92" s="38"/>
    </row>
    <row r="93" spans="18:28" x14ac:dyDescent="0.25">
      <c r="R93" s="39">
        <f t="shared" si="8"/>
        <v>0.41500000000000026</v>
      </c>
      <c r="S93" s="42">
        <v>135.9583066803998</v>
      </c>
      <c r="T93" s="38"/>
      <c r="U93" s="38"/>
      <c r="V93" s="38"/>
      <c r="W93" s="38"/>
      <c r="X93" s="38"/>
      <c r="Y93" s="38"/>
      <c r="Z93" s="38"/>
      <c r="AA93" s="38"/>
      <c r="AB93" s="38"/>
    </row>
    <row r="94" spans="18:28" x14ac:dyDescent="0.25">
      <c r="R94" s="39">
        <f t="shared" si="8"/>
        <v>0.42000000000000026</v>
      </c>
      <c r="S94" s="42">
        <v>135.9583066803998</v>
      </c>
      <c r="T94" s="38"/>
      <c r="U94" s="38"/>
      <c r="V94" s="38"/>
      <c r="W94" s="38"/>
      <c r="X94" s="38"/>
      <c r="Y94" s="38"/>
      <c r="Z94" s="38"/>
      <c r="AA94" s="38"/>
      <c r="AB94" s="38"/>
    </row>
    <row r="95" spans="18:28" x14ac:dyDescent="0.25">
      <c r="R95" s="39">
        <f t="shared" si="8"/>
        <v>0.42500000000000027</v>
      </c>
      <c r="S95" s="42">
        <v>135.9583066803998</v>
      </c>
      <c r="T95" s="38"/>
      <c r="U95" s="38"/>
      <c r="V95" s="38"/>
      <c r="W95" s="38"/>
      <c r="X95" s="38"/>
      <c r="Y95" s="38"/>
      <c r="Z95" s="38"/>
      <c r="AA95" s="38"/>
      <c r="AB95" s="38"/>
    </row>
    <row r="96" spans="18:28" x14ac:dyDescent="0.25">
      <c r="R96" s="39">
        <f t="shared" si="8"/>
        <v>0.43000000000000027</v>
      </c>
      <c r="S96" s="42">
        <v>135.9583066803998</v>
      </c>
      <c r="T96" s="38"/>
      <c r="U96" s="38"/>
      <c r="V96" s="38"/>
      <c r="W96" s="38"/>
      <c r="X96" s="38"/>
      <c r="Y96" s="38"/>
      <c r="Z96" s="38"/>
      <c r="AA96" s="38"/>
      <c r="AB96" s="38"/>
    </row>
    <row r="97" spans="18:28" x14ac:dyDescent="0.25">
      <c r="R97" s="39">
        <f t="shared" si="8"/>
        <v>0.43500000000000028</v>
      </c>
      <c r="S97" s="42">
        <v>135.9583066803998</v>
      </c>
      <c r="T97" s="38"/>
      <c r="U97" s="38"/>
      <c r="V97" s="38"/>
      <c r="W97" s="38"/>
      <c r="X97" s="38"/>
      <c r="Y97" s="38"/>
      <c r="Z97" s="38"/>
      <c r="AA97" s="38"/>
      <c r="AB97" s="38"/>
    </row>
    <row r="98" spans="18:28" x14ac:dyDescent="0.25">
      <c r="R98" s="39">
        <f t="shared" si="8"/>
        <v>0.44000000000000028</v>
      </c>
      <c r="S98" s="42">
        <v>135.9583066803998</v>
      </c>
      <c r="T98" s="38"/>
      <c r="U98" s="38"/>
      <c r="V98" s="38"/>
      <c r="W98" s="38"/>
      <c r="X98" s="38"/>
      <c r="Y98" s="38"/>
      <c r="Z98" s="38"/>
      <c r="AA98" s="38"/>
      <c r="AB98" s="38"/>
    </row>
    <row r="99" spans="18:28" x14ac:dyDescent="0.25">
      <c r="R99" s="39">
        <f t="shared" si="8"/>
        <v>0.44500000000000028</v>
      </c>
      <c r="S99" s="42">
        <v>135.9583066803998</v>
      </c>
      <c r="T99" s="38"/>
      <c r="U99" s="38"/>
      <c r="V99" s="38"/>
      <c r="W99" s="38"/>
      <c r="X99" s="38"/>
      <c r="Y99" s="38"/>
      <c r="Z99" s="38"/>
      <c r="AA99" s="38"/>
      <c r="AB99" s="38"/>
    </row>
    <row r="100" spans="18:28" x14ac:dyDescent="0.25">
      <c r="R100" s="39">
        <f t="shared" si="8"/>
        <v>0.45000000000000029</v>
      </c>
      <c r="S100" s="42">
        <v>135.9583066803998</v>
      </c>
      <c r="T100" s="38"/>
      <c r="U100" s="38"/>
      <c r="V100" s="38"/>
      <c r="W100" s="38"/>
      <c r="X100" s="38"/>
      <c r="Y100" s="38"/>
      <c r="Z100" s="38"/>
      <c r="AA100" s="38"/>
      <c r="AB100" s="38"/>
    </row>
    <row r="101" spans="18:28" x14ac:dyDescent="0.25">
      <c r="R101" s="39">
        <f t="shared" si="8"/>
        <v>0.45500000000000029</v>
      </c>
      <c r="S101" s="42">
        <v>135.9583066803998</v>
      </c>
      <c r="T101" s="38"/>
      <c r="U101" s="38"/>
      <c r="V101" s="38"/>
      <c r="W101" s="38"/>
      <c r="X101" s="38"/>
      <c r="Y101" s="38"/>
      <c r="Z101" s="38"/>
      <c r="AA101" s="38"/>
      <c r="AB101" s="38"/>
    </row>
    <row r="102" spans="18:28" x14ac:dyDescent="0.25">
      <c r="R102" s="39">
        <f t="shared" si="8"/>
        <v>0.4600000000000003</v>
      </c>
      <c r="S102" s="42">
        <v>135.9583066803998</v>
      </c>
      <c r="T102" s="38"/>
      <c r="U102" s="38"/>
      <c r="V102" s="38"/>
      <c r="W102" s="38"/>
      <c r="X102" s="38"/>
      <c r="Y102" s="38"/>
      <c r="Z102" s="38"/>
      <c r="AA102" s="38"/>
      <c r="AB102" s="38"/>
    </row>
    <row r="103" spans="18:28" x14ac:dyDescent="0.25">
      <c r="R103" s="39">
        <f t="shared" si="8"/>
        <v>0.4650000000000003</v>
      </c>
      <c r="S103" s="42">
        <v>135.9583066803998</v>
      </c>
      <c r="T103" s="38"/>
      <c r="U103" s="38"/>
      <c r="V103" s="38"/>
      <c r="W103" s="38"/>
      <c r="X103" s="38"/>
      <c r="Y103" s="38"/>
      <c r="Z103" s="38"/>
      <c r="AA103" s="38"/>
      <c r="AB103" s="38"/>
    </row>
    <row r="104" spans="18:28" x14ac:dyDescent="0.25">
      <c r="R104" s="39">
        <f t="shared" si="8"/>
        <v>0.47000000000000031</v>
      </c>
      <c r="S104" s="42">
        <v>135.9583066803998</v>
      </c>
      <c r="T104" s="38"/>
      <c r="U104" s="38"/>
      <c r="V104" s="38"/>
      <c r="W104" s="38"/>
      <c r="X104" s="38"/>
      <c r="Y104" s="38"/>
      <c r="Z104" s="38"/>
      <c r="AA104" s="38"/>
      <c r="AB104" s="38"/>
    </row>
    <row r="105" spans="18:28" x14ac:dyDescent="0.25">
      <c r="R105" s="39">
        <f t="shared" si="8"/>
        <v>0.47500000000000031</v>
      </c>
      <c r="S105" s="42">
        <v>135.9583066803998</v>
      </c>
      <c r="T105" s="38"/>
      <c r="U105" s="38"/>
      <c r="V105" s="38"/>
      <c r="W105" s="38"/>
      <c r="X105" s="38"/>
      <c r="Y105" s="38"/>
      <c r="Z105" s="38"/>
      <c r="AA105" s="38"/>
      <c r="AB105" s="38"/>
    </row>
    <row r="106" spans="18:28" x14ac:dyDescent="0.25">
      <c r="R106" s="39">
        <f t="shared" si="8"/>
        <v>0.48000000000000032</v>
      </c>
      <c r="S106" s="42">
        <v>135.9583066803998</v>
      </c>
      <c r="T106" s="38"/>
      <c r="U106" s="38"/>
      <c r="V106" s="38"/>
      <c r="W106" s="38"/>
      <c r="X106" s="38"/>
      <c r="Y106" s="38"/>
      <c r="Z106" s="38"/>
      <c r="AA106" s="38"/>
      <c r="AB106" s="38"/>
    </row>
    <row r="107" spans="18:28" x14ac:dyDescent="0.25">
      <c r="R107" s="39">
        <f t="shared" si="8"/>
        <v>0.48500000000000032</v>
      </c>
      <c r="S107" s="42">
        <v>135.9583066803998</v>
      </c>
      <c r="T107" s="38"/>
      <c r="U107" s="38"/>
      <c r="V107" s="38"/>
      <c r="W107" s="38"/>
      <c r="X107" s="38"/>
      <c r="Y107" s="38"/>
      <c r="Z107" s="38"/>
      <c r="AA107" s="38"/>
      <c r="AB107" s="38"/>
    </row>
    <row r="108" spans="18:28" x14ac:dyDescent="0.25">
      <c r="R108" s="39">
        <f t="shared" si="8"/>
        <v>0.49000000000000032</v>
      </c>
      <c r="S108" s="42">
        <v>135.9583066803998</v>
      </c>
      <c r="T108" s="38"/>
      <c r="U108" s="38"/>
      <c r="V108" s="38"/>
      <c r="W108" s="38"/>
      <c r="X108" s="38"/>
      <c r="Y108" s="38"/>
      <c r="Z108" s="38"/>
      <c r="AA108" s="38"/>
      <c r="AB108" s="38"/>
    </row>
    <row r="109" spans="18:28" x14ac:dyDescent="0.25">
      <c r="R109" s="39">
        <f t="shared" si="8"/>
        <v>0.49500000000000033</v>
      </c>
      <c r="S109" s="42">
        <v>135.9583066803998</v>
      </c>
      <c r="T109" s="38"/>
      <c r="U109" s="38"/>
      <c r="V109" s="38"/>
      <c r="W109" s="38"/>
      <c r="X109" s="38"/>
      <c r="Y109" s="38"/>
      <c r="Z109" s="38"/>
      <c r="AA109" s="38"/>
      <c r="AB109" s="38"/>
    </row>
    <row r="110" spans="18:28" x14ac:dyDescent="0.25">
      <c r="R110" s="39">
        <f t="shared" si="8"/>
        <v>0.50000000000000033</v>
      </c>
      <c r="S110" s="42">
        <v>135.9583066803998</v>
      </c>
      <c r="T110" s="38"/>
      <c r="U110" s="38"/>
      <c r="V110" s="38"/>
      <c r="W110" s="38"/>
      <c r="X110" s="38"/>
      <c r="Y110" s="38"/>
      <c r="Z110" s="38"/>
      <c r="AA110" s="38"/>
      <c r="AB110" s="38"/>
    </row>
  </sheetData>
  <mergeCells count="4">
    <mergeCell ref="B21:D21"/>
    <mergeCell ref="G20:H20"/>
    <mergeCell ref="G21:H21"/>
    <mergeCell ref="D11:E11"/>
  </mergeCells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ignoredErrors>
    <ignoredError sqref="D2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B110"/>
  <sheetViews>
    <sheetView zoomScale="80" zoomScaleNormal="80" workbookViewId="0">
      <selection activeCell="F24" sqref="F24"/>
    </sheetView>
  </sheetViews>
  <sheetFormatPr defaultRowHeight="13.2" x14ac:dyDescent="0.25"/>
  <cols>
    <col min="3" max="3" width="8.5546875" customWidth="1"/>
    <col min="4" max="4" width="8.33203125" customWidth="1"/>
    <col min="5" max="5" width="11.6640625" customWidth="1"/>
    <col min="6" max="6" width="13.5546875" customWidth="1"/>
    <col min="7" max="8" width="15" customWidth="1"/>
    <col min="9" max="9" width="9.109375" customWidth="1"/>
    <col min="18" max="18" width="9.88671875" hidden="1" customWidth="1"/>
    <col min="19" max="28" width="9.109375" hidden="1" customWidth="1"/>
  </cols>
  <sheetData>
    <row r="1" spans="1:28" s="2" customFormat="1" x14ac:dyDescent="0.25">
      <c r="A1" s="1" t="s">
        <v>0</v>
      </c>
    </row>
    <row r="2" spans="1:28" s="2" customFormat="1" x14ac:dyDescent="0.25">
      <c r="A2" s="3"/>
      <c r="B2" s="3"/>
      <c r="C2" s="3"/>
      <c r="D2" s="3"/>
      <c r="E2" s="4" t="s">
        <v>1</v>
      </c>
      <c r="F2" s="3"/>
    </row>
    <row r="3" spans="1:28" s="2" customFormat="1" x14ac:dyDescent="0.25">
      <c r="A3" s="3"/>
      <c r="B3" s="4" t="s">
        <v>2</v>
      </c>
      <c r="C3" s="3"/>
      <c r="D3" s="5" t="s">
        <v>3</v>
      </c>
      <c r="E3" s="4" t="s">
        <v>4</v>
      </c>
      <c r="F3" s="3"/>
    </row>
    <row r="4" spans="1:28" s="2" customFormat="1" x14ac:dyDescent="0.25">
      <c r="A4" s="3"/>
      <c r="B4" s="3" t="s">
        <v>5</v>
      </c>
      <c r="C4" s="3"/>
      <c r="D4" s="6">
        <v>0.18</v>
      </c>
      <c r="E4" s="7" t="s">
        <v>6</v>
      </c>
      <c r="F4" s="3"/>
    </row>
    <row r="5" spans="1:28" s="2" customFormat="1" x14ac:dyDescent="0.25">
      <c r="A5"/>
      <c r="B5"/>
      <c r="C5"/>
      <c r="D5"/>
      <c r="E5"/>
      <c r="F5"/>
    </row>
    <row r="6" spans="1:28" s="2" customFormat="1" x14ac:dyDescent="0.25">
      <c r="A6" s="8" t="s">
        <v>7</v>
      </c>
      <c r="B6" s="8"/>
      <c r="C6" s="9"/>
      <c r="D6" s="10">
        <f>2*(SUM(G25:G35)-SUM(H25:H35))</f>
        <v>-10287.112218228744</v>
      </c>
      <c r="E6" s="9"/>
      <c r="F6" s="9"/>
    </row>
    <row r="7" spans="1:28" s="2" customFormat="1" x14ac:dyDescent="0.25">
      <c r="A7" s="9" t="s">
        <v>8</v>
      </c>
      <c r="B7" s="9"/>
      <c r="C7" s="9"/>
      <c r="D7" s="9"/>
      <c r="E7" s="9"/>
      <c r="F7" s="9"/>
    </row>
    <row r="8" spans="1:28" s="2" customFormat="1" x14ac:dyDescent="0.25">
      <c r="A8" s="11" t="s">
        <v>9</v>
      </c>
      <c r="B8" s="12"/>
      <c r="C8" s="12"/>
      <c r="D8" s="12"/>
      <c r="E8" s="9"/>
      <c r="F8" s="9"/>
      <c r="R8" s="40" t="s">
        <v>30</v>
      </c>
      <c r="S8" s="41" t="s">
        <v>32</v>
      </c>
      <c r="T8" s="38"/>
      <c r="U8" s="38"/>
      <c r="V8" s="38"/>
      <c r="W8" s="38"/>
      <c r="X8" s="38"/>
      <c r="Y8" s="38"/>
      <c r="Z8" s="38"/>
      <c r="AA8" s="38"/>
      <c r="AB8" s="38"/>
    </row>
    <row r="9" spans="1:28" s="2" customFormat="1" x14ac:dyDescent="0.25">
      <c r="A9" s="11" t="s">
        <v>10</v>
      </c>
      <c r="B9" s="12"/>
      <c r="C9" s="12"/>
      <c r="D9" s="11">
        <f>D6-C14</f>
        <v>-10287.112218228744</v>
      </c>
      <c r="E9" s="9"/>
      <c r="F9" s="9"/>
      <c r="G9" s="13"/>
      <c r="H9" s="13"/>
      <c r="I9" s="13"/>
      <c r="R9" s="40" t="s">
        <v>31</v>
      </c>
      <c r="S9" s="41" t="s">
        <v>33</v>
      </c>
      <c r="T9" s="38"/>
      <c r="U9" s="38"/>
      <c r="V9" s="38"/>
      <c r="W9" s="38"/>
      <c r="X9" s="38"/>
      <c r="Y9" s="38"/>
      <c r="Z9" s="38"/>
      <c r="AA9" s="38"/>
      <c r="AB9" s="38"/>
    </row>
    <row r="10" spans="1:28" s="2" customFormat="1" ht="13.8" thickBot="1" x14ac:dyDescent="0.3">
      <c r="A10"/>
      <c r="B10"/>
      <c r="C10"/>
      <c r="D10"/>
      <c r="E10"/>
      <c r="F10"/>
      <c r="G10" s="14"/>
      <c r="H10" s="14"/>
      <c r="I10" s="14"/>
      <c r="R10" s="39"/>
      <c r="S10" s="42">
        <f>D6</f>
        <v>-10287.112218228744</v>
      </c>
      <c r="T10" s="38"/>
      <c r="U10" s="38"/>
      <c r="V10" s="38"/>
      <c r="W10" s="38"/>
      <c r="X10" s="38"/>
      <c r="Y10" s="38"/>
      <c r="Z10" s="38"/>
      <c r="AA10" s="38"/>
      <c r="AB10" s="38"/>
    </row>
    <row r="11" spans="1:28" s="2" customFormat="1" x14ac:dyDescent="0.25">
      <c r="A11" s="15" t="s">
        <v>34</v>
      </c>
      <c r="B11" s="16"/>
      <c r="C11" s="16"/>
      <c r="D11" s="47" t="s">
        <v>11</v>
      </c>
      <c r="E11" s="47"/>
      <c r="F11" s="17"/>
      <c r="G11" s="14"/>
      <c r="H11" s="14"/>
      <c r="I11" s="14"/>
      <c r="R11" s="39">
        <v>5.0000000000000001E-3</v>
      </c>
      <c r="S11" s="42">
        <f t="dataTable" ref="S11:S110" dt2D="0" dtr="0" r1="D4"/>
        <v>-10287.112218228744</v>
      </c>
      <c r="T11" s="38"/>
      <c r="U11" s="38"/>
      <c r="V11" s="38"/>
      <c r="W11" s="38"/>
      <c r="X11" s="38"/>
      <c r="Y11" s="38"/>
      <c r="Z11" s="38"/>
      <c r="AA11" s="38"/>
      <c r="AB11" s="38"/>
    </row>
    <row r="12" spans="1:28" s="2" customFormat="1" x14ac:dyDescent="0.25">
      <c r="A12" s="18"/>
      <c r="B12" s="19"/>
      <c r="C12" s="19" t="s">
        <v>12</v>
      </c>
      <c r="D12" s="19" t="s">
        <v>13</v>
      </c>
      <c r="E12" s="19" t="s">
        <v>14</v>
      </c>
      <c r="F12" s="20"/>
      <c r="G12" s="13"/>
      <c r="H12" s="13"/>
      <c r="I12" s="13"/>
      <c r="R12" s="39">
        <f>R11+0.005</f>
        <v>0.01</v>
      </c>
      <c r="S12" s="42">
        <v>-10287.112218228744</v>
      </c>
      <c r="T12" s="38"/>
      <c r="U12" s="38"/>
      <c r="V12" s="38"/>
      <c r="W12" s="38"/>
      <c r="X12" s="38"/>
      <c r="Y12" s="38"/>
      <c r="Z12" s="38"/>
      <c r="AA12" s="38"/>
      <c r="AB12" s="38"/>
    </row>
    <row r="13" spans="1:28" s="2" customFormat="1" x14ac:dyDescent="0.25">
      <c r="A13" s="18"/>
      <c r="B13" s="19" t="s">
        <v>6</v>
      </c>
      <c r="C13" s="19"/>
      <c r="D13" s="19"/>
      <c r="E13" s="19"/>
      <c r="F13" s="21"/>
      <c r="R13" s="39">
        <f t="shared" ref="R13:R76" si="0">R12+0.005</f>
        <v>1.4999999999999999E-2</v>
      </c>
      <c r="S13" s="42">
        <v>-10287.112218228744</v>
      </c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2" customFormat="1" ht="13.8" thickBot="1" x14ac:dyDescent="0.3">
      <c r="A14" s="22" t="s">
        <v>15</v>
      </c>
      <c r="B14" s="23"/>
      <c r="C14" s="23"/>
      <c r="D14" s="23"/>
      <c r="E14" s="23"/>
      <c r="F14" s="24"/>
      <c r="R14" s="39">
        <f t="shared" si="0"/>
        <v>0.02</v>
      </c>
      <c r="S14" s="42">
        <v>-10287.112218228744</v>
      </c>
      <c r="T14" s="38"/>
      <c r="U14" s="38"/>
      <c r="V14" s="38"/>
      <c r="W14" s="38"/>
      <c r="X14" s="38"/>
      <c r="Y14" s="38"/>
      <c r="Z14" s="38"/>
      <c r="AA14" s="38"/>
      <c r="AB14" s="38"/>
    </row>
    <row r="15" spans="1:28" s="2" customFormat="1" x14ac:dyDescent="0.25">
      <c r="A15" s="19"/>
      <c r="B15" s="19"/>
      <c r="C15" s="19"/>
      <c r="D15" s="19"/>
      <c r="E15" s="19"/>
      <c r="F15" s="25"/>
      <c r="R15" s="39">
        <f t="shared" si="0"/>
        <v>2.5000000000000001E-2</v>
      </c>
      <c r="S15" s="42">
        <v>-10287.112218228744</v>
      </c>
      <c r="T15" s="38"/>
      <c r="U15" s="38"/>
      <c r="V15" s="38"/>
      <c r="W15" s="38"/>
      <c r="X15" s="38"/>
      <c r="Y15" s="38"/>
      <c r="Z15" s="38"/>
      <c r="AA15" s="38"/>
      <c r="AB15" s="38"/>
    </row>
    <row r="16" spans="1:28" s="2" customFormat="1" x14ac:dyDescent="0.25">
      <c r="A16" s="26"/>
      <c r="B16" s="27"/>
      <c r="C16" s="27"/>
      <c r="D16" s="27"/>
      <c r="E16" s="19"/>
      <c r="F16" s="25"/>
      <c r="R16" s="39">
        <f t="shared" si="0"/>
        <v>3.0000000000000002E-2</v>
      </c>
      <c r="S16" s="42">
        <v>-10287.112218228744</v>
      </c>
      <c r="T16" s="38"/>
      <c r="U16" s="38"/>
      <c r="V16" s="38"/>
      <c r="W16" s="38"/>
      <c r="X16" s="38"/>
      <c r="Y16" s="38"/>
      <c r="Z16" s="38"/>
      <c r="AA16" s="38"/>
      <c r="AB16" s="38"/>
    </row>
    <row r="17" spans="1:28" s="2" customFormat="1" x14ac:dyDescent="0.25">
      <c r="A17" s="26"/>
      <c r="B17" s="27"/>
      <c r="C17" s="27"/>
      <c r="D17" s="27"/>
      <c r="E17" s="19"/>
      <c r="F17" s="25"/>
      <c r="R17" s="39">
        <f t="shared" si="0"/>
        <v>3.5000000000000003E-2</v>
      </c>
      <c r="S17" s="42">
        <v>-10287.112218228744</v>
      </c>
      <c r="T17" s="38"/>
      <c r="U17" s="38"/>
      <c r="V17" s="38"/>
      <c r="W17" s="38"/>
      <c r="X17" s="38"/>
      <c r="Y17" s="38"/>
      <c r="Z17" s="38"/>
      <c r="AA17" s="38"/>
      <c r="AB17" s="38"/>
    </row>
    <row r="18" spans="1:28" s="2" customFormat="1" x14ac:dyDescent="0.25">
      <c r="A18" s="26"/>
      <c r="B18" s="28"/>
      <c r="C18" s="28"/>
      <c r="D18" s="26"/>
      <c r="E18" s="19"/>
      <c r="F18" s="25"/>
      <c r="R18" s="39">
        <f t="shared" si="0"/>
        <v>0.04</v>
      </c>
      <c r="S18" s="42">
        <v>-10287.112218228744</v>
      </c>
      <c r="T18" s="38"/>
      <c r="U18" s="38"/>
      <c r="V18" s="38"/>
      <c r="W18" s="38"/>
      <c r="X18" s="38"/>
      <c r="Y18" s="38"/>
      <c r="Z18" s="38"/>
      <c r="AA18" s="38"/>
      <c r="AB18" s="38"/>
    </row>
    <row r="19" spans="1:28" s="2" customFormat="1" x14ac:dyDescent="0.25">
      <c r="R19" s="39">
        <f t="shared" si="0"/>
        <v>4.4999999999999998E-2</v>
      </c>
      <c r="S19" s="42">
        <v>-10287.112218228744</v>
      </c>
      <c r="T19" s="38"/>
      <c r="U19" s="38"/>
      <c r="V19" s="38"/>
      <c r="W19" s="38"/>
      <c r="X19" s="38"/>
      <c r="Y19" s="38"/>
      <c r="Z19" s="38"/>
      <c r="AA19" s="38"/>
      <c r="AB19" s="38"/>
    </row>
    <row r="20" spans="1:28" s="2" customFormat="1" x14ac:dyDescent="0.25">
      <c r="A20" s="29"/>
      <c r="B20" s="29"/>
      <c r="C20" s="29"/>
      <c r="D20" s="29"/>
      <c r="E20" s="29"/>
      <c r="F20" s="30" t="s">
        <v>16</v>
      </c>
      <c r="G20" s="46" t="s">
        <v>17</v>
      </c>
      <c r="H20" s="46"/>
      <c r="I20" s="44"/>
      <c r="R20" s="39">
        <f t="shared" si="0"/>
        <v>4.9999999999999996E-2</v>
      </c>
      <c r="S20" s="42">
        <v>-10287.112218228744</v>
      </c>
      <c r="T20" s="38"/>
      <c r="U20" s="38"/>
      <c r="V20" s="38"/>
      <c r="W20" s="38"/>
      <c r="X20" s="38"/>
      <c r="Y20" s="38"/>
      <c r="Z20" s="38"/>
      <c r="AA20" s="38"/>
      <c r="AB20" s="38"/>
    </row>
    <row r="21" spans="1:28" ht="16.2" thickBot="1" x14ac:dyDescent="0.4">
      <c r="A21" s="32" t="s">
        <v>18</v>
      </c>
      <c r="B21" s="45" t="s">
        <v>19</v>
      </c>
      <c r="C21" s="45"/>
      <c r="D21" s="45"/>
      <c r="E21" s="32" t="s">
        <v>20</v>
      </c>
      <c r="F21" s="30" t="s">
        <v>38</v>
      </c>
      <c r="G21" s="46" t="s">
        <v>21</v>
      </c>
      <c r="H21" s="46"/>
      <c r="I21" s="43" t="s">
        <v>36</v>
      </c>
      <c r="R21" s="39">
        <f t="shared" si="0"/>
        <v>5.4999999999999993E-2</v>
      </c>
      <c r="S21" s="42">
        <v>-10287.112218228744</v>
      </c>
      <c r="T21" s="38"/>
      <c r="U21" s="38"/>
      <c r="V21" s="38"/>
      <c r="W21" s="38"/>
      <c r="X21" s="38"/>
      <c r="Y21" s="38"/>
      <c r="Z21" s="38"/>
      <c r="AA21" s="38"/>
      <c r="AB21" s="38"/>
    </row>
    <row r="22" spans="1:28" x14ac:dyDescent="0.25">
      <c r="A22" s="32" t="s">
        <v>22</v>
      </c>
      <c r="B22" s="33" t="s">
        <v>23</v>
      </c>
      <c r="C22" s="33" t="s">
        <v>24</v>
      </c>
      <c r="D22" s="33" t="s">
        <v>25</v>
      </c>
      <c r="E22" s="32" t="s">
        <v>23</v>
      </c>
      <c r="F22" s="30" t="s">
        <v>37</v>
      </c>
      <c r="G22" s="31" t="s">
        <v>26</v>
      </c>
      <c r="H22" s="31" t="s">
        <v>27</v>
      </c>
      <c r="I22" s="44"/>
      <c r="R22" s="39">
        <f t="shared" si="0"/>
        <v>5.9999999999999991E-2</v>
      </c>
      <c r="S22" s="42">
        <v>-10287.112218228744</v>
      </c>
      <c r="T22" s="38"/>
      <c r="U22" s="38"/>
      <c r="V22" s="38"/>
      <c r="W22" s="38"/>
      <c r="X22" s="38"/>
      <c r="Y22" s="38"/>
      <c r="Z22" s="38"/>
      <c r="AA22" s="38"/>
      <c r="AB22" s="38"/>
    </row>
    <row r="23" spans="1:28" x14ac:dyDescent="0.25">
      <c r="A23" s="32"/>
      <c r="B23" s="33"/>
      <c r="C23" s="33"/>
      <c r="D23" s="33"/>
      <c r="E23" s="32"/>
      <c r="F23" s="30"/>
      <c r="G23" s="31" t="s">
        <v>28</v>
      </c>
      <c r="H23" s="31" t="s">
        <v>28</v>
      </c>
      <c r="I23" s="44"/>
      <c r="R23" s="39">
        <f t="shared" si="0"/>
        <v>6.4999999999999988E-2</v>
      </c>
      <c r="S23" s="42">
        <v>-10287.112218228744</v>
      </c>
      <c r="T23" s="38"/>
      <c r="U23" s="38"/>
      <c r="V23" s="38"/>
      <c r="W23" s="38"/>
      <c r="X23" s="38"/>
      <c r="Y23" s="38"/>
      <c r="Z23" s="38"/>
      <c r="AA23" s="38"/>
      <c r="AB23" s="38"/>
    </row>
    <row r="24" spans="1:28" x14ac:dyDescent="0.25">
      <c r="A24" s="33">
        <v>0</v>
      </c>
      <c r="B24" s="29"/>
      <c r="C24" s="29"/>
      <c r="D24" s="29"/>
      <c r="E24" s="33"/>
      <c r="F24" s="34">
        <v>0</v>
      </c>
      <c r="G24" s="9"/>
      <c r="H24" s="9"/>
      <c r="I24" s="44"/>
      <c r="R24" s="39">
        <f t="shared" si="0"/>
        <v>6.9999999999999993E-2</v>
      </c>
      <c r="S24" s="42">
        <v>-10287.112218228744</v>
      </c>
      <c r="T24" s="38"/>
      <c r="U24" s="38"/>
      <c r="V24" s="38"/>
      <c r="W24" s="38"/>
      <c r="X24" s="38"/>
      <c r="Y24" s="38"/>
      <c r="Z24" s="38"/>
      <c r="AA24" s="38"/>
      <c r="AB24" s="38"/>
    </row>
    <row r="25" spans="1:28" x14ac:dyDescent="0.25">
      <c r="A25" s="33">
        <v>0.5</v>
      </c>
      <c r="B25" s="33">
        <v>264</v>
      </c>
      <c r="C25" s="33">
        <v>502</v>
      </c>
      <c r="D25" s="33">
        <v>766</v>
      </c>
      <c r="E25" s="35">
        <f t="shared" ref="E25:E35" si="1">B25/D25</f>
        <v>0.34464751958224543</v>
      </c>
      <c r="F25" s="36"/>
      <c r="G25" s="8">
        <f t="shared" ref="G25:G35" si="2">IF(OR(E25=0,E25=1),0,B25*LN(E25)+C25*LN(1-E25))</f>
        <v>-493.35771870541737</v>
      </c>
      <c r="H25" s="8">
        <f t="shared" ref="H25:H35" si="3">IF(OR(F25=0,F25=1),0,B25*LN(F25)+C25*LN(1-F25))</f>
        <v>0</v>
      </c>
      <c r="I25" s="44"/>
      <c r="R25" s="39">
        <f t="shared" si="0"/>
        <v>7.4999999999999997E-2</v>
      </c>
      <c r="S25" s="42">
        <v>-10287.112218228744</v>
      </c>
      <c r="T25" s="38"/>
      <c r="U25" s="38"/>
      <c r="V25" s="38"/>
      <c r="W25" s="38"/>
      <c r="X25" s="38"/>
      <c r="Y25" s="38"/>
      <c r="Z25" s="38"/>
      <c r="AA25" s="38"/>
      <c r="AB25" s="38"/>
    </row>
    <row r="26" spans="1:28" x14ac:dyDescent="0.25">
      <c r="A26" s="33">
        <v>2</v>
      </c>
      <c r="B26" s="33">
        <v>270</v>
      </c>
      <c r="C26" s="33">
        <v>374</v>
      </c>
      <c r="D26" s="33">
        <v>644</v>
      </c>
      <c r="E26" s="35">
        <f t="shared" si="1"/>
        <v>0.41925465838509318</v>
      </c>
      <c r="F26" s="36"/>
      <c r="G26" s="8">
        <f t="shared" si="2"/>
        <v>-437.95238244860752</v>
      </c>
      <c r="H26" s="8">
        <f t="shared" si="3"/>
        <v>0</v>
      </c>
      <c r="I26" s="44"/>
      <c r="R26" s="39">
        <f t="shared" si="0"/>
        <v>0.08</v>
      </c>
      <c r="S26" s="42">
        <v>-10287.112218228744</v>
      </c>
      <c r="T26" s="38"/>
      <c r="U26" s="38"/>
      <c r="V26" s="38"/>
      <c r="W26" s="38"/>
      <c r="X26" s="38"/>
      <c r="Y26" s="38"/>
      <c r="Z26" s="38"/>
      <c r="AA26" s="38"/>
      <c r="AB26" s="38"/>
    </row>
    <row r="27" spans="1:28" x14ac:dyDescent="0.25">
      <c r="A27" s="33">
        <v>3</v>
      </c>
      <c r="B27" s="33">
        <v>371</v>
      </c>
      <c r="C27" s="33">
        <v>281</v>
      </c>
      <c r="D27" s="33">
        <v>652</v>
      </c>
      <c r="E27" s="35">
        <f t="shared" si="1"/>
        <v>0.56901840490797551</v>
      </c>
      <c r="F27" s="36"/>
      <c r="G27" s="8">
        <f t="shared" si="2"/>
        <v>-445.7004270660367</v>
      </c>
      <c r="H27" s="8">
        <f t="shared" si="3"/>
        <v>0</v>
      </c>
      <c r="I27" s="44"/>
      <c r="R27" s="39">
        <f t="shared" si="0"/>
        <v>8.5000000000000006E-2</v>
      </c>
      <c r="S27" s="42">
        <v>-10287.112218228744</v>
      </c>
      <c r="T27" s="38"/>
      <c r="U27" s="38"/>
      <c r="V27" s="38"/>
      <c r="W27" s="38"/>
      <c r="X27" s="38"/>
      <c r="Y27" s="38"/>
      <c r="Z27" s="38"/>
      <c r="AA27" s="38"/>
      <c r="AB27" s="38"/>
    </row>
    <row r="28" spans="1:28" x14ac:dyDescent="0.25">
      <c r="A28" s="33">
        <v>4</v>
      </c>
      <c r="B28" s="33">
        <v>443</v>
      </c>
      <c r="C28" s="33">
        <v>255</v>
      </c>
      <c r="D28" s="33">
        <v>698</v>
      </c>
      <c r="E28" s="35">
        <f t="shared" si="1"/>
        <v>0.63467048710601714</v>
      </c>
      <c r="F28" s="36"/>
      <c r="G28" s="8">
        <f t="shared" si="2"/>
        <v>-458.18332158274222</v>
      </c>
      <c r="H28" s="8">
        <f t="shared" si="3"/>
        <v>0</v>
      </c>
      <c r="I28" s="44"/>
      <c r="R28" s="39">
        <f t="shared" si="0"/>
        <v>9.0000000000000011E-2</v>
      </c>
      <c r="S28" s="42">
        <v>-10287.112218228744</v>
      </c>
      <c r="T28" s="38"/>
      <c r="U28" s="38"/>
      <c r="V28" s="38"/>
      <c r="W28" s="38"/>
      <c r="X28" s="38"/>
      <c r="Y28" s="38"/>
      <c r="Z28" s="38"/>
      <c r="AA28" s="38"/>
      <c r="AB28" s="38"/>
    </row>
    <row r="29" spans="1:28" x14ac:dyDescent="0.25">
      <c r="A29" s="33">
        <v>5</v>
      </c>
      <c r="B29" s="33">
        <v>532</v>
      </c>
      <c r="C29" s="33">
        <v>191</v>
      </c>
      <c r="D29" s="33">
        <v>723</v>
      </c>
      <c r="E29" s="35">
        <f t="shared" si="1"/>
        <v>0.73582295988934998</v>
      </c>
      <c r="F29" s="36"/>
      <c r="G29" s="8">
        <f t="shared" si="2"/>
        <v>-417.44630653412571</v>
      </c>
      <c r="H29" s="8">
        <f t="shared" si="3"/>
        <v>0</v>
      </c>
      <c r="I29" s="44"/>
      <c r="R29" s="39">
        <f t="shared" si="0"/>
        <v>9.5000000000000015E-2</v>
      </c>
      <c r="S29" s="42">
        <v>-10287.112218228744</v>
      </c>
      <c r="T29" s="38"/>
      <c r="U29" s="38"/>
      <c r="V29" s="38"/>
      <c r="W29" s="38"/>
      <c r="X29" s="38"/>
      <c r="Y29" s="38"/>
      <c r="Z29" s="38"/>
      <c r="AA29" s="38"/>
      <c r="AB29" s="38"/>
    </row>
    <row r="30" spans="1:28" x14ac:dyDescent="0.25">
      <c r="A30" s="33">
        <v>8</v>
      </c>
      <c r="B30" s="33">
        <v>3028</v>
      </c>
      <c r="C30" s="33">
        <v>394</v>
      </c>
      <c r="D30" s="33">
        <v>3422</v>
      </c>
      <c r="E30" s="35">
        <f t="shared" si="1"/>
        <v>0.88486265341905324</v>
      </c>
      <c r="F30" s="36"/>
      <c r="G30" s="8">
        <f t="shared" si="2"/>
        <v>-1222.0755999922094</v>
      </c>
      <c r="H30" s="8">
        <f t="shared" si="3"/>
        <v>0</v>
      </c>
      <c r="I30" s="44"/>
      <c r="R30" s="39">
        <f t="shared" si="0"/>
        <v>0.10000000000000002</v>
      </c>
      <c r="S30" s="42">
        <v>-10287.112218228744</v>
      </c>
      <c r="T30" s="38"/>
      <c r="U30" s="38"/>
      <c r="V30" s="38"/>
      <c r="W30" s="38"/>
      <c r="X30" s="38"/>
      <c r="Y30" s="38"/>
      <c r="Z30" s="38"/>
      <c r="AA30" s="38"/>
      <c r="AB30" s="38"/>
    </row>
    <row r="31" spans="1:28" x14ac:dyDescent="0.25">
      <c r="A31" s="33">
        <v>13</v>
      </c>
      <c r="B31" s="33">
        <v>2303</v>
      </c>
      <c r="C31" s="33">
        <v>96</v>
      </c>
      <c r="D31" s="33">
        <v>2399</v>
      </c>
      <c r="E31" s="35">
        <f t="shared" si="1"/>
        <v>0.95998332638599415</v>
      </c>
      <c r="F31" s="36"/>
      <c r="G31" s="8">
        <f t="shared" si="2"/>
        <v>-403.02512388447701</v>
      </c>
      <c r="H31" s="8">
        <f t="shared" si="3"/>
        <v>0</v>
      </c>
      <c r="I31" s="44"/>
      <c r="R31" s="39">
        <f t="shared" si="0"/>
        <v>0.10500000000000002</v>
      </c>
      <c r="S31" s="42">
        <v>-10287.112218228744</v>
      </c>
      <c r="T31" s="38"/>
      <c r="U31" s="38"/>
      <c r="V31" s="38"/>
      <c r="W31" s="38"/>
      <c r="X31" s="38"/>
      <c r="Y31" s="38"/>
      <c r="Z31" s="38"/>
      <c r="AA31" s="38"/>
      <c r="AB31" s="38"/>
    </row>
    <row r="32" spans="1:28" x14ac:dyDescent="0.25">
      <c r="A32" s="33">
        <v>18</v>
      </c>
      <c r="B32" s="33">
        <v>1845</v>
      </c>
      <c r="C32" s="33">
        <v>73</v>
      </c>
      <c r="D32" s="33">
        <v>1918</v>
      </c>
      <c r="E32" s="35">
        <f t="shared" si="1"/>
        <v>0.96193952033368091</v>
      </c>
      <c r="F32" s="36"/>
      <c r="G32" s="8">
        <f t="shared" si="2"/>
        <v>-310.19907804088922</v>
      </c>
      <c r="H32" s="8">
        <f t="shared" si="3"/>
        <v>0</v>
      </c>
      <c r="I32" s="44"/>
      <c r="R32" s="39">
        <f t="shared" si="0"/>
        <v>0.11000000000000003</v>
      </c>
      <c r="S32" s="42">
        <v>-10287.112218228744</v>
      </c>
      <c r="T32" s="38"/>
      <c r="U32" s="38"/>
      <c r="V32" s="38"/>
      <c r="W32" s="38"/>
      <c r="X32" s="38"/>
      <c r="Y32" s="38"/>
      <c r="Z32" s="38"/>
      <c r="AA32" s="38"/>
      <c r="AB32" s="38"/>
    </row>
    <row r="33" spans="1:28" x14ac:dyDescent="0.25">
      <c r="A33" s="33">
        <v>23</v>
      </c>
      <c r="B33" s="33">
        <v>1546</v>
      </c>
      <c r="C33" s="33">
        <v>78</v>
      </c>
      <c r="D33" s="33">
        <v>1624</v>
      </c>
      <c r="E33" s="35">
        <f t="shared" si="1"/>
        <v>0.95197044334975367</v>
      </c>
      <c r="F33" s="36"/>
      <c r="G33" s="8">
        <f t="shared" si="2"/>
        <v>-312.89933490829821</v>
      </c>
      <c r="H33" s="8">
        <f t="shared" si="3"/>
        <v>0</v>
      </c>
      <c r="I33" s="44"/>
      <c r="R33" s="39">
        <f t="shared" si="0"/>
        <v>0.11500000000000003</v>
      </c>
      <c r="S33" s="42">
        <v>-10287.112218228744</v>
      </c>
      <c r="T33" s="38"/>
      <c r="U33" s="38"/>
      <c r="V33" s="38"/>
      <c r="W33" s="38"/>
      <c r="X33" s="38"/>
      <c r="Y33" s="38"/>
      <c r="Z33" s="38"/>
      <c r="AA33" s="38"/>
      <c r="AB33" s="38"/>
    </row>
    <row r="34" spans="1:28" x14ac:dyDescent="0.25">
      <c r="A34" s="33">
        <v>28</v>
      </c>
      <c r="B34" s="33">
        <v>1443</v>
      </c>
      <c r="C34" s="33">
        <v>82</v>
      </c>
      <c r="D34" s="33">
        <v>1525</v>
      </c>
      <c r="E34" s="35">
        <f t="shared" si="1"/>
        <v>0.94622950819672136</v>
      </c>
      <c r="F34" s="36"/>
      <c r="G34" s="8">
        <f t="shared" si="2"/>
        <v>-319.4432942019414</v>
      </c>
      <c r="H34" s="8">
        <f t="shared" si="3"/>
        <v>0</v>
      </c>
      <c r="I34" s="44"/>
      <c r="R34" s="39">
        <f t="shared" si="0"/>
        <v>0.12000000000000004</v>
      </c>
      <c r="S34" s="42">
        <v>-10287.112218228744</v>
      </c>
      <c r="T34" s="38"/>
      <c r="U34" s="38"/>
      <c r="V34" s="38"/>
      <c r="W34" s="38"/>
      <c r="X34" s="38"/>
      <c r="Y34" s="38"/>
      <c r="Z34" s="38"/>
      <c r="AA34" s="38"/>
      <c r="AB34" s="38"/>
    </row>
    <row r="35" spans="1:28" x14ac:dyDescent="0.25">
      <c r="A35" s="33">
        <v>35.5</v>
      </c>
      <c r="B35" s="33">
        <v>2214</v>
      </c>
      <c r="C35" s="33">
        <v>73</v>
      </c>
      <c r="D35" s="33">
        <v>2287</v>
      </c>
      <c r="E35" s="35">
        <f t="shared" si="1"/>
        <v>0.96808045474420634</v>
      </c>
      <c r="F35" s="36"/>
      <c r="G35" s="8">
        <f t="shared" si="2"/>
        <v>-323.27352174962698</v>
      </c>
      <c r="H35" s="8">
        <f t="shared" si="3"/>
        <v>0</v>
      </c>
      <c r="I35" s="44"/>
      <c r="R35" s="39">
        <f t="shared" si="0"/>
        <v>0.12500000000000003</v>
      </c>
      <c r="S35" s="42">
        <v>-10287.112218228744</v>
      </c>
      <c r="T35" s="38"/>
      <c r="U35" s="38"/>
      <c r="V35" s="38"/>
      <c r="W35" s="38"/>
      <c r="X35" s="38"/>
      <c r="Y35" s="38"/>
      <c r="Z35" s="38"/>
      <c r="AA35" s="38"/>
      <c r="AB35" s="38"/>
    </row>
    <row r="36" spans="1:28" x14ac:dyDescent="0.25">
      <c r="A36" s="2"/>
      <c r="B36" s="2"/>
      <c r="C36" s="2"/>
      <c r="D36" s="2"/>
      <c r="E36" s="2"/>
      <c r="I36" s="2"/>
      <c r="R36" s="39">
        <f t="shared" si="0"/>
        <v>0.13000000000000003</v>
      </c>
      <c r="S36" s="42">
        <v>-10287.112218228744</v>
      </c>
      <c r="T36" s="38"/>
      <c r="U36" s="38"/>
      <c r="V36" s="38"/>
      <c r="W36" s="38"/>
      <c r="X36" s="38"/>
      <c r="Y36" s="38"/>
      <c r="Z36" s="38"/>
      <c r="AA36" s="38"/>
      <c r="AB36" s="38"/>
    </row>
    <row r="37" spans="1:28" x14ac:dyDescent="0.25">
      <c r="I37" s="2"/>
      <c r="R37" s="39">
        <f t="shared" si="0"/>
        <v>0.13500000000000004</v>
      </c>
      <c r="S37" s="42">
        <v>-10287.112218228744</v>
      </c>
      <c r="T37" s="38"/>
      <c r="U37" s="38"/>
      <c r="V37" s="38"/>
      <c r="W37" s="38"/>
      <c r="X37" s="38"/>
      <c r="Y37" s="38"/>
      <c r="Z37" s="38"/>
      <c r="AA37" s="38"/>
      <c r="AB37" s="38"/>
    </row>
    <row r="38" spans="1:28" x14ac:dyDescent="0.25">
      <c r="I38" s="2"/>
      <c r="R38" s="39">
        <f t="shared" si="0"/>
        <v>0.14000000000000004</v>
      </c>
      <c r="S38" s="42">
        <v>-10287.112218228744</v>
      </c>
      <c r="T38" s="38"/>
      <c r="U38" s="38"/>
      <c r="V38" s="38"/>
      <c r="W38" s="38"/>
      <c r="X38" s="38"/>
      <c r="Y38" s="38"/>
      <c r="Z38" s="38"/>
      <c r="AA38" s="38"/>
      <c r="AB38" s="38"/>
    </row>
    <row r="39" spans="1:28" x14ac:dyDescent="0.25">
      <c r="I39" s="2"/>
      <c r="R39" s="39">
        <f t="shared" si="0"/>
        <v>0.14500000000000005</v>
      </c>
      <c r="S39" s="42">
        <v>-10287.112218228744</v>
      </c>
      <c r="T39" s="38"/>
      <c r="U39" s="38"/>
      <c r="V39" s="38"/>
      <c r="W39" s="38"/>
      <c r="X39" s="38"/>
      <c r="Y39" s="38"/>
      <c r="Z39" s="38"/>
      <c r="AA39" s="38"/>
      <c r="AB39" s="38"/>
    </row>
    <row r="40" spans="1:28" x14ac:dyDescent="0.25">
      <c r="I40" s="2"/>
      <c r="R40" s="39">
        <f t="shared" si="0"/>
        <v>0.15000000000000005</v>
      </c>
      <c r="S40" s="42">
        <v>-10287.112218228744</v>
      </c>
      <c r="T40" s="38"/>
      <c r="U40" s="38"/>
      <c r="V40" s="38"/>
      <c r="W40" s="38"/>
      <c r="X40" s="38"/>
      <c r="Y40" s="38"/>
      <c r="Z40" s="38"/>
      <c r="AA40" s="38"/>
      <c r="AB40" s="38"/>
    </row>
    <row r="41" spans="1:28" x14ac:dyDescent="0.25">
      <c r="I41" s="2"/>
      <c r="R41" s="39">
        <f t="shared" si="0"/>
        <v>0.15500000000000005</v>
      </c>
      <c r="S41" s="42">
        <v>-10287.112218228744</v>
      </c>
      <c r="T41" s="38"/>
      <c r="U41" s="38"/>
      <c r="V41" s="38"/>
      <c r="W41" s="38"/>
      <c r="X41" s="38"/>
      <c r="Y41" s="38"/>
      <c r="Z41" s="38"/>
      <c r="AA41" s="38"/>
      <c r="AB41" s="38"/>
    </row>
    <row r="42" spans="1:28" x14ac:dyDescent="0.25">
      <c r="I42" s="2"/>
      <c r="R42" s="39">
        <f t="shared" si="0"/>
        <v>0.16000000000000006</v>
      </c>
      <c r="S42" s="42">
        <v>-10287.112218228744</v>
      </c>
      <c r="T42" s="38"/>
      <c r="U42" s="38"/>
      <c r="V42" s="38"/>
      <c r="W42" s="38"/>
      <c r="X42" s="38"/>
      <c r="Y42" s="38"/>
      <c r="Z42" s="38"/>
      <c r="AA42" s="38"/>
      <c r="AB42" s="38"/>
    </row>
    <row r="43" spans="1:28" x14ac:dyDescent="0.25">
      <c r="I43" s="2"/>
      <c r="R43" s="39">
        <f t="shared" si="0"/>
        <v>0.16500000000000006</v>
      </c>
      <c r="S43" s="42">
        <v>-10287.112218228744</v>
      </c>
      <c r="T43" s="38"/>
      <c r="U43" s="38"/>
      <c r="V43" s="38"/>
      <c r="W43" s="38"/>
      <c r="X43" s="38"/>
      <c r="Y43" s="38"/>
      <c r="Z43" s="38"/>
      <c r="AA43" s="38"/>
      <c r="AB43" s="38"/>
    </row>
    <row r="44" spans="1:28" x14ac:dyDescent="0.25">
      <c r="I44" s="2"/>
      <c r="R44" s="39">
        <f t="shared" si="0"/>
        <v>0.17000000000000007</v>
      </c>
      <c r="S44" s="42">
        <v>-10287.112218228744</v>
      </c>
      <c r="T44" s="38"/>
      <c r="U44" s="38"/>
      <c r="V44" s="38"/>
      <c r="W44" s="38"/>
      <c r="X44" s="38"/>
      <c r="Y44" s="38"/>
      <c r="Z44" s="38"/>
      <c r="AA44" s="38"/>
      <c r="AB44" s="38"/>
    </row>
    <row r="45" spans="1:28" x14ac:dyDescent="0.25">
      <c r="I45" s="2"/>
      <c r="R45" s="39">
        <f t="shared" si="0"/>
        <v>0.17500000000000007</v>
      </c>
      <c r="S45" s="42">
        <v>-10287.112218228744</v>
      </c>
      <c r="T45" s="38"/>
      <c r="U45" s="38"/>
      <c r="V45" s="38"/>
      <c r="W45" s="38"/>
      <c r="X45" s="38"/>
      <c r="Y45" s="38"/>
      <c r="Z45" s="38"/>
      <c r="AA45" s="38"/>
      <c r="AB45" s="38"/>
    </row>
    <row r="46" spans="1:28" x14ac:dyDescent="0.25">
      <c r="I46" s="2"/>
      <c r="R46" s="39">
        <f t="shared" si="0"/>
        <v>0.18000000000000008</v>
      </c>
      <c r="S46" s="42">
        <v>-10287.112218228744</v>
      </c>
      <c r="T46" s="38"/>
      <c r="U46" s="38"/>
      <c r="V46" s="38"/>
      <c r="W46" s="38"/>
      <c r="X46" s="38"/>
      <c r="Y46" s="38"/>
      <c r="Z46" s="38"/>
      <c r="AA46" s="38"/>
      <c r="AB46" s="38"/>
    </row>
    <row r="47" spans="1:28" x14ac:dyDescent="0.25">
      <c r="I47" s="2"/>
      <c r="R47" s="39">
        <f t="shared" si="0"/>
        <v>0.18500000000000008</v>
      </c>
      <c r="S47" s="42">
        <v>-10287.112218228744</v>
      </c>
      <c r="T47" s="38"/>
      <c r="U47" s="38"/>
      <c r="V47" s="38"/>
      <c r="W47" s="38"/>
      <c r="X47" s="38"/>
      <c r="Y47" s="38"/>
      <c r="Z47" s="38"/>
      <c r="AA47" s="38"/>
      <c r="AB47" s="38"/>
    </row>
    <row r="48" spans="1:28" x14ac:dyDescent="0.25">
      <c r="I48" s="2"/>
      <c r="R48" s="39">
        <f t="shared" si="0"/>
        <v>0.19000000000000009</v>
      </c>
      <c r="S48" s="42">
        <v>-10287.112218228744</v>
      </c>
      <c r="T48" s="38"/>
      <c r="U48" s="38"/>
      <c r="V48" s="38"/>
      <c r="W48" s="38"/>
      <c r="X48" s="38"/>
      <c r="Y48" s="38"/>
      <c r="Z48" s="38"/>
      <c r="AA48" s="38"/>
      <c r="AB48" s="38"/>
    </row>
    <row r="49" spans="9:28" x14ac:dyDescent="0.25">
      <c r="I49" s="2"/>
      <c r="R49" s="39">
        <f t="shared" si="0"/>
        <v>0.19500000000000009</v>
      </c>
      <c r="S49" s="42">
        <v>-10287.112218228744</v>
      </c>
      <c r="T49" s="38"/>
      <c r="U49" s="38"/>
      <c r="V49" s="38"/>
      <c r="W49" s="38"/>
      <c r="X49" s="38"/>
      <c r="Y49" s="38"/>
      <c r="Z49" s="38"/>
      <c r="AA49" s="38"/>
      <c r="AB49" s="38"/>
    </row>
    <row r="50" spans="9:28" x14ac:dyDescent="0.25">
      <c r="I50" s="2"/>
      <c r="R50" s="39">
        <f t="shared" si="0"/>
        <v>0.20000000000000009</v>
      </c>
      <c r="S50" s="42">
        <v>-10287.112218228744</v>
      </c>
      <c r="T50" s="38"/>
      <c r="U50" s="38"/>
      <c r="V50" s="38"/>
      <c r="W50" s="38"/>
      <c r="X50" s="38"/>
      <c r="Y50" s="38"/>
      <c r="Z50" s="38"/>
      <c r="AA50" s="38"/>
      <c r="AB50" s="38"/>
    </row>
    <row r="51" spans="9:28" x14ac:dyDescent="0.25">
      <c r="I51" s="2"/>
      <c r="R51" s="39">
        <f t="shared" si="0"/>
        <v>0.2050000000000001</v>
      </c>
      <c r="S51" s="42">
        <v>-10287.112218228744</v>
      </c>
      <c r="T51" s="38"/>
      <c r="U51" s="38"/>
      <c r="V51" s="38"/>
      <c r="W51" s="38"/>
      <c r="X51" s="38"/>
      <c r="Y51" s="38"/>
      <c r="Z51" s="38"/>
      <c r="AA51" s="38"/>
      <c r="AB51" s="38"/>
    </row>
    <row r="52" spans="9:28" x14ac:dyDescent="0.25">
      <c r="I52" s="2"/>
      <c r="R52" s="39">
        <f t="shared" si="0"/>
        <v>0.2100000000000001</v>
      </c>
      <c r="S52" s="42">
        <v>-10287.112218228744</v>
      </c>
      <c r="T52" s="38"/>
      <c r="U52" s="38"/>
      <c r="V52" s="38"/>
      <c r="W52" s="38"/>
      <c r="X52" s="38"/>
      <c r="Y52" s="38"/>
      <c r="Z52" s="38"/>
      <c r="AA52" s="38"/>
      <c r="AB52" s="38"/>
    </row>
    <row r="53" spans="9:28" x14ac:dyDescent="0.25">
      <c r="I53" s="2"/>
      <c r="R53" s="39">
        <f t="shared" si="0"/>
        <v>0.21500000000000011</v>
      </c>
      <c r="S53" s="42">
        <v>-10287.112218228744</v>
      </c>
      <c r="T53" s="38"/>
      <c r="U53" s="38"/>
      <c r="V53" s="38"/>
      <c r="W53" s="38"/>
      <c r="X53" s="38"/>
      <c r="Y53" s="38"/>
      <c r="Z53" s="38"/>
      <c r="AA53" s="38"/>
      <c r="AB53" s="38"/>
    </row>
    <row r="54" spans="9:28" x14ac:dyDescent="0.25">
      <c r="I54" s="2"/>
      <c r="R54" s="39">
        <f t="shared" si="0"/>
        <v>0.22000000000000011</v>
      </c>
      <c r="S54" s="42">
        <v>-10287.112218228744</v>
      </c>
      <c r="T54" s="38"/>
      <c r="U54" s="38"/>
      <c r="V54" s="38"/>
      <c r="W54" s="38"/>
      <c r="X54" s="38"/>
      <c r="Y54" s="38"/>
      <c r="Z54" s="38"/>
      <c r="AA54" s="38"/>
      <c r="AB54" s="38"/>
    </row>
    <row r="55" spans="9:28" x14ac:dyDescent="0.25">
      <c r="I55" s="2"/>
      <c r="R55" s="39">
        <f t="shared" si="0"/>
        <v>0.22500000000000012</v>
      </c>
      <c r="S55" s="42">
        <v>-10287.112218228744</v>
      </c>
      <c r="T55" s="38"/>
      <c r="U55" s="38"/>
      <c r="V55" s="38"/>
      <c r="W55" s="38"/>
      <c r="X55" s="38"/>
      <c r="Y55" s="38"/>
      <c r="Z55" s="38"/>
      <c r="AA55" s="38"/>
      <c r="AB55" s="38"/>
    </row>
    <row r="56" spans="9:28" x14ac:dyDescent="0.25">
      <c r="I56" s="2"/>
      <c r="R56" s="39">
        <f t="shared" si="0"/>
        <v>0.23000000000000012</v>
      </c>
      <c r="S56" s="42">
        <v>-10287.112218228744</v>
      </c>
      <c r="T56" s="38"/>
      <c r="U56" s="38"/>
      <c r="V56" s="38"/>
      <c r="W56" s="38"/>
      <c r="X56" s="38"/>
      <c r="Y56" s="38"/>
      <c r="Z56" s="38"/>
      <c r="AA56" s="38"/>
      <c r="AB56" s="38"/>
    </row>
    <row r="57" spans="9:28" x14ac:dyDescent="0.25">
      <c r="I57" s="2"/>
      <c r="R57" s="39">
        <f t="shared" si="0"/>
        <v>0.23500000000000013</v>
      </c>
      <c r="S57" s="42">
        <v>-10287.112218228744</v>
      </c>
      <c r="T57" s="38"/>
      <c r="U57" s="38"/>
      <c r="V57" s="38"/>
      <c r="W57" s="38"/>
      <c r="X57" s="38"/>
      <c r="Y57" s="38"/>
      <c r="Z57" s="38"/>
      <c r="AA57" s="38"/>
      <c r="AB57" s="38"/>
    </row>
    <row r="58" spans="9:28" x14ac:dyDescent="0.25">
      <c r="I58" s="2"/>
      <c r="R58" s="39">
        <f t="shared" si="0"/>
        <v>0.24000000000000013</v>
      </c>
      <c r="S58" s="42">
        <v>-10287.112218228744</v>
      </c>
      <c r="T58" s="38"/>
      <c r="U58" s="38"/>
      <c r="V58" s="38"/>
      <c r="W58" s="38"/>
      <c r="X58" s="38"/>
      <c r="Y58" s="38"/>
      <c r="Z58" s="38"/>
      <c r="AA58" s="38"/>
      <c r="AB58" s="38"/>
    </row>
    <row r="59" spans="9:28" x14ac:dyDescent="0.25">
      <c r="I59" s="2"/>
      <c r="R59" s="39">
        <f t="shared" si="0"/>
        <v>0.24500000000000013</v>
      </c>
      <c r="S59" s="42">
        <v>-10287.112218228744</v>
      </c>
      <c r="T59" s="38"/>
      <c r="U59" s="38"/>
      <c r="V59" s="38"/>
      <c r="W59" s="38"/>
      <c r="X59" s="38"/>
      <c r="Y59" s="38"/>
      <c r="Z59" s="38"/>
      <c r="AA59" s="38"/>
      <c r="AB59" s="38"/>
    </row>
    <row r="60" spans="9:28" x14ac:dyDescent="0.25">
      <c r="I60" s="2"/>
      <c r="R60" s="39">
        <f t="shared" si="0"/>
        <v>0.25000000000000011</v>
      </c>
      <c r="S60" s="42">
        <v>-10287.112218228744</v>
      </c>
      <c r="T60" s="38"/>
      <c r="U60" s="38"/>
      <c r="V60" s="38"/>
      <c r="W60" s="38"/>
      <c r="X60" s="38"/>
      <c r="Y60" s="38"/>
      <c r="Z60" s="38"/>
      <c r="AA60" s="38"/>
      <c r="AB60" s="38"/>
    </row>
    <row r="61" spans="9:28" x14ac:dyDescent="0.25">
      <c r="I61" s="2"/>
      <c r="R61" s="39">
        <f t="shared" si="0"/>
        <v>0.25500000000000012</v>
      </c>
      <c r="S61" s="42">
        <v>-10287.112218228744</v>
      </c>
      <c r="T61" s="38"/>
      <c r="U61" s="38"/>
      <c r="V61" s="38"/>
      <c r="W61" s="38"/>
      <c r="X61" s="38"/>
      <c r="Y61" s="38"/>
      <c r="Z61" s="38"/>
      <c r="AA61" s="38"/>
      <c r="AB61" s="38"/>
    </row>
    <row r="62" spans="9:28" x14ac:dyDescent="0.25">
      <c r="I62" s="2"/>
      <c r="R62" s="39">
        <f t="shared" si="0"/>
        <v>0.26000000000000012</v>
      </c>
      <c r="S62" s="42">
        <v>-10287.112218228744</v>
      </c>
      <c r="T62" s="38"/>
      <c r="U62" s="38"/>
      <c r="V62" s="38"/>
      <c r="W62" s="38"/>
      <c r="X62" s="38"/>
      <c r="Y62" s="38"/>
      <c r="Z62" s="38"/>
      <c r="AA62" s="38"/>
      <c r="AB62" s="38"/>
    </row>
    <row r="63" spans="9:28" x14ac:dyDescent="0.25">
      <c r="I63" s="2"/>
      <c r="R63" s="39">
        <f t="shared" si="0"/>
        <v>0.26500000000000012</v>
      </c>
      <c r="S63" s="42">
        <v>-10287.112218228744</v>
      </c>
      <c r="T63" s="38"/>
      <c r="U63" s="38"/>
      <c r="V63" s="38"/>
      <c r="W63" s="38"/>
      <c r="X63" s="38"/>
      <c r="Y63" s="38"/>
      <c r="Z63" s="38"/>
      <c r="AA63" s="38"/>
      <c r="AB63" s="38"/>
    </row>
    <row r="64" spans="9:28" x14ac:dyDescent="0.25">
      <c r="I64" s="2"/>
      <c r="R64" s="39">
        <f t="shared" si="0"/>
        <v>0.27000000000000013</v>
      </c>
      <c r="S64" s="42">
        <v>-10287.112218228744</v>
      </c>
      <c r="T64" s="38"/>
      <c r="U64" s="38"/>
      <c r="V64" s="38"/>
      <c r="W64" s="38"/>
      <c r="X64" s="38"/>
      <c r="Y64" s="38"/>
      <c r="Z64" s="38"/>
      <c r="AA64" s="38"/>
      <c r="AB64" s="38"/>
    </row>
    <row r="65" spans="9:28" x14ac:dyDescent="0.25">
      <c r="I65" s="2"/>
      <c r="R65" s="39">
        <f t="shared" si="0"/>
        <v>0.27500000000000013</v>
      </c>
      <c r="S65" s="42">
        <v>-10287.112218228744</v>
      </c>
      <c r="T65" s="38"/>
      <c r="U65" s="38"/>
      <c r="V65" s="38"/>
      <c r="W65" s="38"/>
      <c r="X65" s="38"/>
      <c r="Y65" s="38"/>
      <c r="Z65" s="38"/>
      <c r="AA65" s="38"/>
      <c r="AB65" s="38"/>
    </row>
    <row r="66" spans="9:28" x14ac:dyDescent="0.25">
      <c r="I66" s="2"/>
      <c r="R66" s="39">
        <f t="shared" si="0"/>
        <v>0.28000000000000014</v>
      </c>
      <c r="S66" s="42">
        <v>-10287.112218228744</v>
      </c>
      <c r="T66" s="38"/>
      <c r="U66" s="38"/>
      <c r="V66" s="38"/>
      <c r="W66" s="38"/>
      <c r="X66" s="38"/>
      <c r="Y66" s="38"/>
      <c r="Z66" s="38"/>
      <c r="AA66" s="38"/>
      <c r="AB66" s="38"/>
    </row>
    <row r="67" spans="9:28" x14ac:dyDescent="0.25">
      <c r="I67" s="2"/>
      <c r="R67" s="39">
        <f t="shared" si="0"/>
        <v>0.28500000000000014</v>
      </c>
      <c r="S67" s="42">
        <v>-10287.112218228744</v>
      </c>
      <c r="T67" s="38"/>
      <c r="U67" s="38"/>
      <c r="V67" s="38"/>
      <c r="W67" s="38"/>
      <c r="X67" s="38"/>
      <c r="Y67" s="38"/>
      <c r="Z67" s="38"/>
      <c r="AA67" s="38"/>
      <c r="AB67" s="38"/>
    </row>
    <row r="68" spans="9:28" x14ac:dyDescent="0.25">
      <c r="I68" s="2"/>
      <c r="R68" s="39">
        <f t="shared" si="0"/>
        <v>0.29000000000000015</v>
      </c>
      <c r="S68" s="42">
        <v>-10287.112218228744</v>
      </c>
      <c r="T68" s="38"/>
      <c r="U68" s="38"/>
      <c r="V68" s="38"/>
      <c r="W68" s="38"/>
      <c r="X68" s="38"/>
      <c r="Y68" s="38"/>
      <c r="Z68" s="38"/>
      <c r="AA68" s="38"/>
      <c r="AB68" s="38"/>
    </row>
    <row r="69" spans="9:28" x14ac:dyDescent="0.25">
      <c r="R69" s="39">
        <f t="shared" si="0"/>
        <v>0.29500000000000015</v>
      </c>
      <c r="S69" s="42">
        <v>-10287.112218228744</v>
      </c>
      <c r="T69" s="38"/>
      <c r="U69" s="38"/>
      <c r="V69" s="38"/>
      <c r="W69" s="38"/>
      <c r="X69" s="38"/>
      <c r="Y69" s="38"/>
      <c r="Z69" s="38"/>
      <c r="AA69" s="38"/>
      <c r="AB69" s="38"/>
    </row>
    <row r="70" spans="9:28" x14ac:dyDescent="0.25">
      <c r="R70" s="39">
        <f t="shared" si="0"/>
        <v>0.30000000000000016</v>
      </c>
      <c r="S70" s="42">
        <v>-10287.112218228744</v>
      </c>
      <c r="T70" s="38"/>
      <c r="U70" s="38"/>
      <c r="V70" s="38"/>
      <c r="W70" s="38"/>
      <c r="X70" s="38"/>
      <c r="Y70" s="38"/>
      <c r="Z70" s="38"/>
      <c r="AA70" s="38"/>
      <c r="AB70" s="38"/>
    </row>
    <row r="71" spans="9:28" x14ac:dyDescent="0.25">
      <c r="R71" s="39">
        <f t="shared" si="0"/>
        <v>0.30500000000000016</v>
      </c>
      <c r="S71" s="42">
        <v>-10287.112218228744</v>
      </c>
      <c r="T71" s="38"/>
      <c r="U71" s="38"/>
      <c r="V71" s="38"/>
      <c r="W71" s="38"/>
      <c r="X71" s="38"/>
      <c r="Y71" s="38"/>
      <c r="Z71" s="38"/>
      <c r="AA71" s="38"/>
      <c r="AB71" s="38"/>
    </row>
    <row r="72" spans="9:28" x14ac:dyDescent="0.25">
      <c r="R72" s="39">
        <f t="shared" si="0"/>
        <v>0.31000000000000016</v>
      </c>
      <c r="S72" s="42">
        <v>-10287.112218228744</v>
      </c>
      <c r="T72" s="38"/>
      <c r="U72" s="38"/>
      <c r="V72" s="38"/>
      <c r="W72" s="38"/>
      <c r="X72" s="38"/>
      <c r="Y72" s="38"/>
      <c r="Z72" s="38"/>
      <c r="AA72" s="38"/>
      <c r="AB72" s="38"/>
    </row>
    <row r="73" spans="9:28" x14ac:dyDescent="0.25">
      <c r="R73" s="39">
        <f t="shared" si="0"/>
        <v>0.31500000000000017</v>
      </c>
      <c r="S73" s="42">
        <v>-10287.112218228744</v>
      </c>
      <c r="T73" s="38"/>
      <c r="U73" s="38"/>
      <c r="V73" s="38"/>
      <c r="W73" s="38"/>
      <c r="X73" s="38"/>
      <c r="Y73" s="38"/>
      <c r="Z73" s="38"/>
      <c r="AA73" s="38"/>
      <c r="AB73" s="38"/>
    </row>
    <row r="74" spans="9:28" x14ac:dyDescent="0.25">
      <c r="R74" s="39">
        <f t="shared" si="0"/>
        <v>0.32000000000000017</v>
      </c>
      <c r="S74" s="42">
        <v>-10287.112218228744</v>
      </c>
      <c r="T74" s="38"/>
      <c r="U74" s="38"/>
      <c r="V74" s="38"/>
      <c r="W74" s="38"/>
      <c r="X74" s="38"/>
      <c r="Y74" s="38"/>
      <c r="Z74" s="38"/>
      <c r="AA74" s="38"/>
      <c r="AB74" s="38"/>
    </row>
    <row r="75" spans="9:28" x14ac:dyDescent="0.25">
      <c r="R75" s="39">
        <f t="shared" si="0"/>
        <v>0.32500000000000018</v>
      </c>
      <c r="S75" s="42">
        <v>-10287.112218228744</v>
      </c>
      <c r="T75" s="38"/>
      <c r="U75" s="38"/>
      <c r="V75" s="38"/>
      <c r="W75" s="38"/>
      <c r="X75" s="38"/>
      <c r="Y75" s="38"/>
      <c r="Z75" s="38"/>
      <c r="AA75" s="38"/>
      <c r="AB75" s="38"/>
    </row>
    <row r="76" spans="9:28" x14ac:dyDescent="0.25">
      <c r="R76" s="39">
        <f t="shared" si="0"/>
        <v>0.33000000000000018</v>
      </c>
      <c r="S76" s="42">
        <v>-10287.112218228744</v>
      </c>
      <c r="T76" s="38"/>
      <c r="U76" s="38"/>
      <c r="V76" s="38"/>
      <c r="W76" s="38"/>
      <c r="X76" s="38"/>
      <c r="Y76" s="38"/>
      <c r="Z76" s="38"/>
      <c r="AA76" s="38"/>
      <c r="AB76" s="38"/>
    </row>
    <row r="77" spans="9:28" x14ac:dyDescent="0.25">
      <c r="R77" s="39">
        <f t="shared" ref="R77:R110" si="4">R76+0.005</f>
        <v>0.33500000000000019</v>
      </c>
      <c r="S77" s="42">
        <v>-10287.112218228744</v>
      </c>
      <c r="T77" s="38"/>
      <c r="U77" s="38"/>
      <c r="V77" s="38"/>
      <c r="W77" s="38"/>
      <c r="X77" s="38"/>
      <c r="Y77" s="38"/>
      <c r="Z77" s="38"/>
      <c r="AA77" s="38"/>
      <c r="AB77" s="38"/>
    </row>
    <row r="78" spans="9:28" x14ac:dyDescent="0.25">
      <c r="R78" s="39">
        <f t="shared" si="4"/>
        <v>0.34000000000000019</v>
      </c>
      <c r="S78" s="42">
        <v>-10287.112218228744</v>
      </c>
      <c r="T78" s="38"/>
      <c r="U78" s="38"/>
      <c r="V78" s="38"/>
      <c r="W78" s="38"/>
      <c r="X78" s="38"/>
      <c r="Y78" s="38"/>
      <c r="Z78" s="38"/>
      <c r="AA78" s="38"/>
      <c r="AB78" s="38"/>
    </row>
    <row r="79" spans="9:28" x14ac:dyDescent="0.25">
      <c r="R79" s="39">
        <f t="shared" si="4"/>
        <v>0.3450000000000002</v>
      </c>
      <c r="S79" s="42">
        <v>-10287.112218228744</v>
      </c>
      <c r="T79" s="38"/>
      <c r="U79" s="38"/>
      <c r="V79" s="38"/>
      <c r="W79" s="38"/>
      <c r="X79" s="38"/>
      <c r="Y79" s="38"/>
      <c r="Z79" s="38"/>
      <c r="AA79" s="38"/>
      <c r="AB79" s="38"/>
    </row>
    <row r="80" spans="9:28" x14ac:dyDescent="0.25">
      <c r="R80" s="39">
        <f t="shared" si="4"/>
        <v>0.3500000000000002</v>
      </c>
      <c r="S80" s="42">
        <v>-10287.112218228744</v>
      </c>
      <c r="T80" s="38"/>
      <c r="U80" s="38"/>
      <c r="V80" s="38"/>
      <c r="W80" s="38"/>
      <c r="X80" s="38"/>
      <c r="Y80" s="38"/>
      <c r="Z80" s="38"/>
      <c r="AA80" s="38"/>
      <c r="AB80" s="38"/>
    </row>
    <row r="81" spans="18:28" x14ac:dyDescent="0.25">
      <c r="R81" s="39">
        <f t="shared" si="4"/>
        <v>0.3550000000000002</v>
      </c>
      <c r="S81" s="42">
        <v>-10287.112218228744</v>
      </c>
      <c r="T81" s="38"/>
      <c r="U81" s="38"/>
      <c r="V81" s="38"/>
      <c r="W81" s="38"/>
      <c r="X81" s="38"/>
      <c r="Y81" s="38"/>
      <c r="Z81" s="38"/>
      <c r="AA81" s="38"/>
      <c r="AB81" s="38"/>
    </row>
    <row r="82" spans="18:28" x14ac:dyDescent="0.25">
      <c r="R82" s="39">
        <f t="shared" si="4"/>
        <v>0.36000000000000021</v>
      </c>
      <c r="S82" s="42">
        <v>-10287.112218228744</v>
      </c>
      <c r="T82" s="38"/>
      <c r="U82" s="38"/>
      <c r="V82" s="38"/>
      <c r="W82" s="38"/>
      <c r="X82" s="38"/>
      <c r="Y82" s="38"/>
      <c r="Z82" s="38"/>
      <c r="AA82" s="38"/>
      <c r="AB82" s="38"/>
    </row>
    <row r="83" spans="18:28" x14ac:dyDescent="0.25">
      <c r="R83" s="39">
        <f t="shared" si="4"/>
        <v>0.36500000000000021</v>
      </c>
      <c r="S83" s="42">
        <v>-10287.112218228744</v>
      </c>
      <c r="T83" s="38"/>
      <c r="U83" s="38"/>
      <c r="V83" s="38"/>
      <c r="W83" s="38"/>
      <c r="X83" s="38"/>
      <c r="Y83" s="38"/>
      <c r="Z83" s="38"/>
      <c r="AA83" s="38"/>
      <c r="AB83" s="38"/>
    </row>
    <row r="84" spans="18:28" x14ac:dyDescent="0.25">
      <c r="R84" s="39">
        <f t="shared" si="4"/>
        <v>0.37000000000000022</v>
      </c>
      <c r="S84" s="42">
        <v>-10287.112218228744</v>
      </c>
      <c r="T84" s="38"/>
      <c r="U84" s="38"/>
      <c r="V84" s="38"/>
      <c r="W84" s="38"/>
      <c r="X84" s="38"/>
      <c r="Y84" s="38"/>
      <c r="Z84" s="38"/>
      <c r="AA84" s="38"/>
      <c r="AB84" s="38"/>
    </row>
    <row r="85" spans="18:28" x14ac:dyDescent="0.25">
      <c r="R85" s="39">
        <f t="shared" si="4"/>
        <v>0.37500000000000022</v>
      </c>
      <c r="S85" s="42">
        <v>-10287.112218228744</v>
      </c>
      <c r="T85" s="38"/>
      <c r="U85" s="38"/>
      <c r="V85" s="38"/>
      <c r="W85" s="38"/>
      <c r="X85" s="38"/>
      <c r="Y85" s="38"/>
      <c r="Z85" s="38"/>
      <c r="AA85" s="38"/>
      <c r="AB85" s="38"/>
    </row>
    <row r="86" spans="18:28" x14ac:dyDescent="0.25">
      <c r="R86" s="39">
        <f t="shared" si="4"/>
        <v>0.38000000000000023</v>
      </c>
      <c r="S86" s="42">
        <v>-10287.112218228744</v>
      </c>
      <c r="T86" s="38"/>
      <c r="U86" s="38"/>
      <c r="V86" s="38"/>
      <c r="W86" s="38"/>
      <c r="X86" s="38"/>
      <c r="Y86" s="38"/>
      <c r="Z86" s="38"/>
      <c r="AA86" s="38"/>
      <c r="AB86" s="38"/>
    </row>
    <row r="87" spans="18:28" x14ac:dyDescent="0.25">
      <c r="R87" s="39">
        <f t="shared" si="4"/>
        <v>0.38500000000000023</v>
      </c>
      <c r="S87" s="42">
        <v>-10287.112218228744</v>
      </c>
      <c r="T87" s="38"/>
      <c r="U87" s="38"/>
      <c r="V87" s="38"/>
      <c r="W87" s="38"/>
      <c r="X87" s="38"/>
      <c r="Y87" s="38"/>
      <c r="Z87" s="38"/>
      <c r="AA87" s="38"/>
      <c r="AB87" s="38"/>
    </row>
    <row r="88" spans="18:28" x14ac:dyDescent="0.25">
      <c r="R88" s="39">
        <f t="shared" si="4"/>
        <v>0.39000000000000024</v>
      </c>
      <c r="S88" s="42">
        <v>-10287.112218228744</v>
      </c>
      <c r="T88" s="38"/>
      <c r="U88" s="38"/>
      <c r="V88" s="38"/>
      <c r="W88" s="38"/>
      <c r="X88" s="38"/>
      <c r="Y88" s="38"/>
      <c r="Z88" s="38"/>
      <c r="AA88" s="38"/>
      <c r="AB88" s="38"/>
    </row>
    <row r="89" spans="18:28" x14ac:dyDescent="0.25">
      <c r="R89" s="39">
        <f t="shared" si="4"/>
        <v>0.39500000000000024</v>
      </c>
      <c r="S89" s="42">
        <v>-10287.112218228744</v>
      </c>
      <c r="T89" s="38"/>
      <c r="U89" s="38"/>
      <c r="V89" s="38"/>
      <c r="W89" s="38"/>
      <c r="X89" s="38"/>
      <c r="Y89" s="38"/>
      <c r="Z89" s="38"/>
      <c r="AA89" s="38"/>
      <c r="AB89" s="38"/>
    </row>
    <row r="90" spans="18:28" x14ac:dyDescent="0.25">
      <c r="R90" s="39">
        <f t="shared" si="4"/>
        <v>0.40000000000000024</v>
      </c>
      <c r="S90" s="42">
        <v>-10287.112218228744</v>
      </c>
      <c r="T90" s="38"/>
      <c r="U90" s="38"/>
      <c r="V90" s="38"/>
      <c r="W90" s="38"/>
      <c r="X90" s="38"/>
      <c r="Y90" s="38"/>
      <c r="Z90" s="38"/>
      <c r="AA90" s="38"/>
      <c r="AB90" s="38"/>
    </row>
    <row r="91" spans="18:28" x14ac:dyDescent="0.25">
      <c r="R91" s="39">
        <f t="shared" si="4"/>
        <v>0.40500000000000025</v>
      </c>
      <c r="S91" s="42">
        <v>-10287.112218228744</v>
      </c>
      <c r="T91" s="38"/>
      <c r="U91" s="38"/>
      <c r="V91" s="38"/>
      <c r="W91" s="38"/>
      <c r="X91" s="38"/>
      <c r="Y91" s="38"/>
      <c r="Z91" s="38"/>
      <c r="AA91" s="38"/>
      <c r="AB91" s="38"/>
    </row>
    <row r="92" spans="18:28" x14ac:dyDescent="0.25">
      <c r="R92" s="39">
        <f t="shared" si="4"/>
        <v>0.41000000000000025</v>
      </c>
      <c r="S92" s="42">
        <v>-10287.112218228744</v>
      </c>
      <c r="T92" s="38"/>
      <c r="U92" s="38"/>
      <c r="V92" s="38"/>
      <c r="W92" s="38"/>
      <c r="X92" s="38"/>
      <c r="Y92" s="38"/>
      <c r="Z92" s="38"/>
      <c r="AA92" s="38"/>
      <c r="AB92" s="38"/>
    </row>
    <row r="93" spans="18:28" x14ac:dyDescent="0.25">
      <c r="R93" s="39">
        <f t="shared" si="4"/>
        <v>0.41500000000000026</v>
      </c>
      <c r="S93" s="42">
        <v>-10287.112218228744</v>
      </c>
      <c r="T93" s="38"/>
      <c r="U93" s="38"/>
      <c r="V93" s="38"/>
      <c r="W93" s="38"/>
      <c r="X93" s="38"/>
      <c r="Y93" s="38"/>
      <c r="Z93" s="38"/>
      <c r="AA93" s="38"/>
      <c r="AB93" s="38"/>
    </row>
    <row r="94" spans="18:28" x14ac:dyDescent="0.25">
      <c r="R94" s="39">
        <f t="shared" si="4"/>
        <v>0.42000000000000026</v>
      </c>
      <c r="S94" s="42">
        <v>-10287.112218228744</v>
      </c>
      <c r="T94" s="38"/>
      <c r="U94" s="38"/>
      <c r="V94" s="38"/>
      <c r="W94" s="38"/>
      <c r="X94" s="38"/>
      <c r="Y94" s="38"/>
      <c r="Z94" s="38"/>
      <c r="AA94" s="38"/>
      <c r="AB94" s="38"/>
    </row>
    <row r="95" spans="18:28" x14ac:dyDescent="0.25">
      <c r="R95" s="39">
        <f t="shared" si="4"/>
        <v>0.42500000000000027</v>
      </c>
      <c r="S95" s="42">
        <v>-10287.112218228744</v>
      </c>
      <c r="T95" s="38"/>
      <c r="U95" s="38"/>
      <c r="V95" s="38"/>
      <c r="W95" s="38"/>
      <c r="X95" s="38"/>
      <c r="Y95" s="38"/>
      <c r="Z95" s="38"/>
      <c r="AA95" s="38"/>
      <c r="AB95" s="38"/>
    </row>
    <row r="96" spans="18:28" x14ac:dyDescent="0.25">
      <c r="R96" s="39">
        <f t="shared" si="4"/>
        <v>0.43000000000000027</v>
      </c>
      <c r="S96" s="42">
        <v>-10287.112218228744</v>
      </c>
      <c r="T96" s="38"/>
      <c r="U96" s="38"/>
      <c r="V96" s="38"/>
      <c r="W96" s="38"/>
      <c r="X96" s="38"/>
      <c r="Y96" s="38"/>
      <c r="Z96" s="38"/>
      <c r="AA96" s="38"/>
      <c r="AB96" s="38"/>
    </row>
    <row r="97" spans="18:28" x14ac:dyDescent="0.25">
      <c r="R97" s="39">
        <f t="shared" si="4"/>
        <v>0.43500000000000028</v>
      </c>
      <c r="S97" s="42">
        <v>-10287.112218228744</v>
      </c>
      <c r="T97" s="38"/>
      <c r="U97" s="38"/>
      <c r="V97" s="38"/>
      <c r="W97" s="38"/>
      <c r="X97" s="38"/>
      <c r="Y97" s="38"/>
      <c r="Z97" s="38"/>
      <c r="AA97" s="38"/>
      <c r="AB97" s="38"/>
    </row>
    <row r="98" spans="18:28" x14ac:dyDescent="0.25">
      <c r="R98" s="39">
        <f t="shared" si="4"/>
        <v>0.44000000000000028</v>
      </c>
      <c r="S98" s="42">
        <v>-10287.112218228744</v>
      </c>
      <c r="T98" s="38"/>
      <c r="U98" s="38"/>
      <c r="V98" s="38"/>
      <c r="W98" s="38"/>
      <c r="X98" s="38"/>
      <c r="Y98" s="38"/>
      <c r="Z98" s="38"/>
      <c r="AA98" s="38"/>
      <c r="AB98" s="38"/>
    </row>
    <row r="99" spans="18:28" x14ac:dyDescent="0.25">
      <c r="R99" s="39">
        <f t="shared" si="4"/>
        <v>0.44500000000000028</v>
      </c>
      <c r="S99" s="42">
        <v>-10287.112218228744</v>
      </c>
      <c r="T99" s="38"/>
      <c r="U99" s="38"/>
      <c r="V99" s="38"/>
      <c r="W99" s="38"/>
      <c r="X99" s="38"/>
      <c r="Y99" s="38"/>
      <c r="Z99" s="38"/>
      <c r="AA99" s="38"/>
      <c r="AB99" s="38"/>
    </row>
    <row r="100" spans="18:28" x14ac:dyDescent="0.25">
      <c r="R100" s="39">
        <f t="shared" si="4"/>
        <v>0.45000000000000029</v>
      </c>
      <c r="S100" s="42">
        <v>-10287.112218228744</v>
      </c>
      <c r="T100" s="38"/>
      <c r="U100" s="38"/>
      <c r="V100" s="38"/>
      <c r="W100" s="38"/>
      <c r="X100" s="38"/>
      <c r="Y100" s="38"/>
      <c r="Z100" s="38"/>
      <c r="AA100" s="38"/>
      <c r="AB100" s="38"/>
    </row>
    <row r="101" spans="18:28" x14ac:dyDescent="0.25">
      <c r="R101" s="39">
        <f t="shared" si="4"/>
        <v>0.45500000000000029</v>
      </c>
      <c r="S101" s="42">
        <v>-10287.112218228744</v>
      </c>
      <c r="T101" s="38"/>
      <c r="U101" s="38"/>
      <c r="V101" s="38"/>
      <c r="W101" s="38"/>
      <c r="X101" s="38"/>
      <c r="Y101" s="38"/>
      <c r="Z101" s="38"/>
      <c r="AA101" s="38"/>
      <c r="AB101" s="38"/>
    </row>
    <row r="102" spans="18:28" x14ac:dyDescent="0.25">
      <c r="R102" s="39">
        <f t="shared" si="4"/>
        <v>0.4600000000000003</v>
      </c>
      <c r="S102" s="42">
        <v>-10287.112218228744</v>
      </c>
      <c r="T102" s="38"/>
      <c r="U102" s="38"/>
      <c r="V102" s="38"/>
      <c r="W102" s="38"/>
      <c r="X102" s="38"/>
      <c r="Y102" s="38"/>
      <c r="Z102" s="38"/>
      <c r="AA102" s="38"/>
      <c r="AB102" s="38"/>
    </row>
    <row r="103" spans="18:28" x14ac:dyDescent="0.25">
      <c r="R103" s="39">
        <f t="shared" si="4"/>
        <v>0.4650000000000003</v>
      </c>
      <c r="S103" s="42">
        <v>-10287.112218228744</v>
      </c>
      <c r="T103" s="38"/>
      <c r="U103" s="38"/>
      <c r="V103" s="38"/>
      <c r="W103" s="38"/>
      <c r="X103" s="38"/>
      <c r="Y103" s="38"/>
      <c r="Z103" s="38"/>
      <c r="AA103" s="38"/>
      <c r="AB103" s="38"/>
    </row>
    <row r="104" spans="18:28" x14ac:dyDescent="0.25">
      <c r="R104" s="39">
        <f t="shared" si="4"/>
        <v>0.47000000000000031</v>
      </c>
      <c r="S104" s="42">
        <v>-10287.112218228744</v>
      </c>
      <c r="T104" s="38"/>
      <c r="U104" s="38"/>
      <c r="V104" s="38"/>
      <c r="W104" s="38"/>
      <c r="X104" s="38"/>
      <c r="Y104" s="38"/>
      <c r="Z104" s="38"/>
      <c r="AA104" s="38"/>
      <c r="AB104" s="38"/>
    </row>
    <row r="105" spans="18:28" x14ac:dyDescent="0.25">
      <c r="R105" s="39">
        <f t="shared" si="4"/>
        <v>0.47500000000000031</v>
      </c>
      <c r="S105" s="42">
        <v>-10287.112218228744</v>
      </c>
      <c r="T105" s="38"/>
      <c r="U105" s="38"/>
      <c r="V105" s="38"/>
      <c r="W105" s="38"/>
      <c r="X105" s="38"/>
      <c r="Y105" s="38"/>
      <c r="Z105" s="38"/>
      <c r="AA105" s="38"/>
      <c r="AB105" s="38"/>
    </row>
    <row r="106" spans="18:28" x14ac:dyDescent="0.25">
      <c r="R106" s="39">
        <f t="shared" si="4"/>
        <v>0.48000000000000032</v>
      </c>
      <c r="S106" s="42">
        <v>-10287.112218228744</v>
      </c>
      <c r="T106" s="38"/>
      <c r="U106" s="38"/>
      <c r="V106" s="38"/>
      <c r="W106" s="38"/>
      <c r="X106" s="38"/>
      <c r="Y106" s="38"/>
      <c r="Z106" s="38"/>
      <c r="AA106" s="38"/>
      <c r="AB106" s="38"/>
    </row>
    <row r="107" spans="18:28" x14ac:dyDescent="0.25">
      <c r="R107" s="39">
        <f t="shared" si="4"/>
        <v>0.48500000000000032</v>
      </c>
      <c r="S107" s="42">
        <v>-10287.112218228744</v>
      </c>
      <c r="T107" s="38"/>
      <c r="U107" s="38"/>
      <c r="V107" s="38"/>
      <c r="W107" s="38"/>
      <c r="X107" s="38"/>
      <c r="Y107" s="38"/>
      <c r="Z107" s="38"/>
      <c r="AA107" s="38"/>
      <c r="AB107" s="38"/>
    </row>
    <row r="108" spans="18:28" x14ac:dyDescent="0.25">
      <c r="R108" s="39">
        <f t="shared" si="4"/>
        <v>0.49000000000000032</v>
      </c>
      <c r="S108" s="42">
        <v>-10287.112218228744</v>
      </c>
      <c r="T108" s="38"/>
      <c r="U108" s="38"/>
      <c r="V108" s="38"/>
      <c r="W108" s="38"/>
      <c r="X108" s="38"/>
      <c r="Y108" s="38"/>
      <c r="Z108" s="38"/>
      <c r="AA108" s="38"/>
      <c r="AB108" s="38"/>
    </row>
    <row r="109" spans="18:28" x14ac:dyDescent="0.25">
      <c r="R109" s="39">
        <f t="shared" si="4"/>
        <v>0.49500000000000033</v>
      </c>
      <c r="S109" s="42">
        <v>-10287.112218228744</v>
      </c>
      <c r="T109" s="38"/>
      <c r="U109" s="38"/>
      <c r="V109" s="38"/>
      <c r="W109" s="38"/>
      <c r="X109" s="38"/>
      <c r="Y109" s="38"/>
      <c r="Z109" s="38"/>
      <c r="AA109" s="38"/>
      <c r="AB109" s="38"/>
    </row>
    <row r="110" spans="18:28" x14ac:dyDescent="0.25">
      <c r="R110" s="39">
        <f t="shared" si="4"/>
        <v>0.50000000000000033</v>
      </c>
      <c r="S110" s="42">
        <v>-10287.112218228744</v>
      </c>
      <c r="T110" s="38"/>
      <c r="U110" s="38"/>
      <c r="V110" s="38"/>
      <c r="W110" s="38"/>
      <c r="X110" s="38"/>
      <c r="Y110" s="38"/>
      <c r="Z110" s="38"/>
      <c r="AA110" s="38"/>
      <c r="AB110" s="38"/>
    </row>
  </sheetData>
  <mergeCells count="4">
    <mergeCell ref="B21:D21"/>
    <mergeCell ref="G20:H20"/>
    <mergeCell ref="G21:H21"/>
    <mergeCell ref="D11:E11"/>
  </mergeCells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UK</vt:lpstr>
      <vt:lpstr>China</vt:lpstr>
      <vt:lpstr>foi_c</vt:lpstr>
      <vt:lpstr>foi_uk</vt:lpstr>
    </vt:vector>
  </TitlesOfParts>
  <Company>LSHTM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 VYNNYCKY</dc:creator>
  <cp:lastModifiedBy>Boyeon Kim</cp:lastModifiedBy>
  <dcterms:created xsi:type="dcterms:W3CDTF">2001-03-14T12:32:53Z</dcterms:created>
  <dcterms:modified xsi:type="dcterms:W3CDTF">2020-07-05T23:49:16Z</dcterms:modified>
</cp:coreProperties>
</file>